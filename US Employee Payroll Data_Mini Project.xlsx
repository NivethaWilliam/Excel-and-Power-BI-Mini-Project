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hidePivotFieldList="1"/>
  <mc:AlternateContent xmlns:mc="http://schemas.openxmlformats.org/markup-compatibility/2006">
    <mc:Choice Requires="x15">
      <x15ac:absPath xmlns:x15ac="http://schemas.microsoft.com/office/spreadsheetml/2010/11/ac" url="C:\NiVi Projects\Data Analysis\Mini Project\"/>
    </mc:Choice>
  </mc:AlternateContent>
  <xr:revisionPtr revIDLastSave="0" documentId="13_ncr:1_{5954C78F-895B-4707-A15A-C37514F39F7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US Payroll Analysis DashBoard" sheetId="7" r:id="rId1"/>
    <sheet name="US Employee Payroll Analytics" sheetId="1" r:id="rId2"/>
    <sheet name="US Employee Payroll Cleaned" sheetId="4" r:id="rId3"/>
    <sheet name="Lookup Sheet" sheetId="11" r:id="rId4"/>
    <sheet name="Department Payroll Analysis" sheetId="9" r:id="rId5"/>
    <sheet name="Payroll By Job Title" sheetId="10" r:id="rId6"/>
  </sheets>
  <definedNames>
    <definedName name="_xlnm._FilterDatabase" localSheetId="2" hidden="1">'US Employee Payroll Cleaned'!$A$1:$S$501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SPewnLy1egof6ukSjPxMzH8Z4Z9ZubDnPBsm0OCwawE="/>
    </ext>
  </extLst>
</workbook>
</file>

<file path=xl/calcChain.xml><?xml version="1.0" encoding="utf-8"?>
<calcChain xmlns="http://schemas.openxmlformats.org/spreadsheetml/2006/main">
  <c r="I4" i="11" l="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H4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2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3" i="11"/>
  <c r="C4" i="11"/>
  <c r="C5" i="11"/>
  <c r="C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2" i="11"/>
  <c r="B23" i="7"/>
  <c r="B22" i="7"/>
  <c r="B21" i="7"/>
  <c r="B19" i="7"/>
  <c r="B18" i="7"/>
  <c r="B17" i="7"/>
  <c r="B16" i="7"/>
  <c r="B15" i="7"/>
  <c r="B14" i="7"/>
  <c r="B13" i="7"/>
  <c r="B12" i="7"/>
  <c r="B11" i="7"/>
  <c r="B10" i="7"/>
  <c r="B8" i="7"/>
  <c r="B7" i="7"/>
  <c r="B6" i="7"/>
  <c r="B5" i="7"/>
  <c r="B9" i="7"/>
</calcChain>
</file>

<file path=xl/sharedStrings.xml><?xml version="1.0" encoding="utf-8"?>
<sst xmlns="http://schemas.openxmlformats.org/spreadsheetml/2006/main" count="14178" uniqueCount="1582">
  <si>
    <t>AMOUNT</t>
  </si>
  <si>
    <t>FUND TYPE</t>
  </si>
  <si>
    <t>FUND</t>
  </si>
  <si>
    <t>DEPARTMENT FUNCTION</t>
  </si>
  <si>
    <t>DEPARTMENT</t>
  </si>
  <si>
    <t>APPROPRIATION</t>
  </si>
  <si>
    <t>TITLE</t>
  </si>
  <si>
    <t>EMPLOYEE DATASET ID</t>
  </si>
  <si>
    <t>EMPLOYEE</t>
  </si>
  <si>
    <t>PAY ELEMENT</t>
  </si>
  <si>
    <t>PAYROLL YEAR</t>
  </si>
  <si>
    <t>PAYROLL PERIOD</t>
  </si>
  <si>
    <t>DEPARTMENT CODE</t>
  </si>
  <si>
    <t>FUND CODE</t>
  </si>
  <si>
    <t>APPROPRIATION CODE</t>
  </si>
  <si>
    <t>TITLE CODE</t>
  </si>
  <si>
    <t>RECORD ID</t>
  </si>
  <si>
    <t>$3,556</t>
  </si>
  <si>
    <t>CORPORATE FUND</t>
  </si>
  <si>
    <t>F0100 - CORPORATE FUND</t>
  </si>
  <si>
    <t>City Development</t>
  </si>
  <si>
    <t>D54 - Department of Planning and Development</t>
  </si>
  <si>
    <t>A0005 - SALARIES AND WAGES - ON PAYROLL</t>
  </si>
  <si>
    <t>T0109 - ACCOUNTING TECHNICIAN</t>
  </si>
  <si>
    <t>C1081EDB5EEAE1</t>
  </si>
  <si>
    <t>C1081EDB5EEAE1 - TACCAD, CLARIBEL</t>
  </si>
  <si>
    <t>REGULAR SALARY</t>
  </si>
  <si>
    <t>D54</t>
  </si>
  <si>
    <t>F0100</t>
  </si>
  <si>
    <t>A0005</t>
  </si>
  <si>
    <t>T0109</t>
  </si>
  <si>
    <t>C1081EDB5EEAE12023142455196394809</t>
  </si>
  <si>
    <t>$3,902.5</t>
  </si>
  <si>
    <t>T0303 - ADMINISTRATIVE ASST III</t>
  </si>
  <si>
    <t>90D4F9839B1EE3</t>
  </si>
  <si>
    <t>90D4F9839B1EE3 - GRAYER, SHELIA D</t>
  </si>
  <si>
    <t>T0303</t>
  </si>
  <si>
    <t>90D4F9839B1EE320231500216338519161</t>
  </si>
  <si>
    <t>$3,160.5</t>
  </si>
  <si>
    <t>T1405 - CITY PLANNER V</t>
  </si>
  <si>
    <t>4146A18BC5805C</t>
  </si>
  <si>
    <t>4146A18BC5805C - CORPUZ, BENJAMIN A</t>
  </si>
  <si>
    <t>T1405</t>
  </si>
  <si>
    <t>4146A18BC5805C20231371115816750534</t>
  </si>
  <si>
    <t>$3,711.5</t>
  </si>
  <si>
    <t>73BA524443E82D</t>
  </si>
  <si>
    <t>73BA524443E82D - THRUN, EMILY</t>
  </si>
  <si>
    <t>73BA524443E82D20231918844264279950</t>
  </si>
  <si>
    <t>$3,340.5</t>
  </si>
  <si>
    <t>T5402 - ARCHITECT II</t>
  </si>
  <si>
    <t>FABEBFAD17362B</t>
  </si>
  <si>
    <t>FABEBFAD17362B - BARTON, EMILY M</t>
  </si>
  <si>
    <t>T5402</t>
  </si>
  <si>
    <t>FABEBFAD17362B20231891354375792176</t>
  </si>
  <si>
    <t>$4,274</t>
  </si>
  <si>
    <t>T5432 - CHIEF LANDSCAPE PLAN EXAMINER</t>
  </si>
  <si>
    <t>9B82270E9FBFC9</t>
  </si>
  <si>
    <t>9B82270E9FBFC9 - DAYE, RONALD J</t>
  </si>
  <si>
    <t>T5432</t>
  </si>
  <si>
    <t>9B82270E9FBFC920231680319481831943</t>
  </si>
  <si>
    <t>$-194.51</t>
  </si>
  <si>
    <t>T0313 - ASST COMMISSIONER</t>
  </si>
  <si>
    <t>0A30E99A8A025B</t>
  </si>
  <si>
    <t>0A30E99A8A025B - ALBERT, DAMIAN K</t>
  </si>
  <si>
    <t>DOCK</t>
  </si>
  <si>
    <t>T0313</t>
  </si>
  <si>
    <t>0A30E99A8A025B20232415253293962003</t>
  </si>
  <si>
    <t>$5,212</t>
  </si>
  <si>
    <t>T0118 - DIRECTOR OF FINANCE</t>
  </si>
  <si>
    <t>B8E59990646B62</t>
  </si>
  <si>
    <t>B8E59990646B62 - BUDNIK, ALESSANDRA C</t>
  </si>
  <si>
    <t>T0118</t>
  </si>
  <si>
    <t>B8E59990646B622023279498489467265</t>
  </si>
  <si>
    <t>90D4F9839B1EE320232197657932526116</t>
  </si>
  <si>
    <t>$2,542.5</t>
  </si>
  <si>
    <t>T1293 - SENIOR ZONING PLAN EXAMINER</t>
  </si>
  <si>
    <t>D6F0FB9FC44E17</t>
  </si>
  <si>
    <t>D6F0FB9FC44E17 - NOLTER, ROBERT J</t>
  </si>
  <si>
    <t>T1293</t>
  </si>
  <si>
    <t>D6F0FB9FC44E1720232226438981182826</t>
  </si>
  <si>
    <t>$3,240.5</t>
  </si>
  <si>
    <t>92E1F59DF1DF8D</t>
  </si>
  <si>
    <t>92E1F59DF1DF8D - BERAN, PETER D</t>
  </si>
  <si>
    <t>92E1F59DF1DF8D20232725595860732288</t>
  </si>
  <si>
    <t>73BA524443E82D20232743816382565908</t>
  </si>
  <si>
    <t>$4,534</t>
  </si>
  <si>
    <t>D21 - Department of Housing</t>
  </si>
  <si>
    <t>B1DCE5C3C3A044</t>
  </si>
  <si>
    <t>B1DCE5C3C3A044 - WEBER, MICHAEL P</t>
  </si>
  <si>
    <t>D21</t>
  </si>
  <si>
    <t>B1DCE5C3C3A04420233133882940397577</t>
  </si>
  <si>
    <t>$3,607.5</t>
  </si>
  <si>
    <t>T1430 - POLICY ANALYST</t>
  </si>
  <si>
    <t>1AFFC8FE80ACB6</t>
  </si>
  <si>
    <t>1AFFC8FE80ACB6 - NELSON, GABRIELLA M</t>
  </si>
  <si>
    <t>T1430</t>
  </si>
  <si>
    <t>1AFFC8FE80ACB620233633440217234554</t>
  </si>
  <si>
    <t>$4,766</t>
  </si>
  <si>
    <t>T2901 - DIR OF PLANNING RESEARCH AND DEVELOPMENT</t>
  </si>
  <si>
    <t>C28E727C8EB8AF</t>
  </si>
  <si>
    <t>C28E727C8EB8AF - HERTZ, DANIEL K</t>
  </si>
  <si>
    <t>T2901</t>
  </si>
  <si>
    <t>C28E727C8EB8AF20233478946019908088</t>
  </si>
  <si>
    <t>$2,708</t>
  </si>
  <si>
    <t>T1602 - SENIOR LAND DISPOSITION OFFICER</t>
  </si>
  <si>
    <t>C57C9A2F1A1F8D</t>
  </si>
  <si>
    <t>C57C9A2F1A1F8D - THOMPSON, TAYLOR J</t>
  </si>
  <si>
    <t>T1602</t>
  </si>
  <si>
    <t>C57C9A2F1A1F8D20233744047331225155</t>
  </si>
  <si>
    <t>$4,536</t>
  </si>
  <si>
    <t>T1985 - COORD OF ECON DEV II - PLNG &amp; DEV</t>
  </si>
  <si>
    <t>197E06974C23C4</t>
  </si>
  <si>
    <t>197E06974C23C4 - ROBACK, BRADLEY G</t>
  </si>
  <si>
    <t>T1985</t>
  </si>
  <si>
    <t>197E06974C23C420233196967162062698</t>
  </si>
  <si>
    <t>$4,271.5</t>
  </si>
  <si>
    <t>T5431 - SR LANDSCAPE PLAN EXAMINER</t>
  </si>
  <si>
    <t>6AE3E9CF0CE168</t>
  </si>
  <si>
    <t>6AE3E9CF0CE168 - OCIEPKA, LESZEK</t>
  </si>
  <si>
    <t>T5431</t>
  </si>
  <si>
    <t>6AE3E9CF0CE16820233672988467474478</t>
  </si>
  <si>
    <t>B1DCE5C3C3A04420234972133094063392</t>
  </si>
  <si>
    <t>$362.22</t>
  </si>
  <si>
    <t>Public Safety</t>
  </si>
  <si>
    <t>D57 - Chicago Police Department</t>
  </si>
  <si>
    <t>A0020 - OVERTIME</t>
  </si>
  <si>
    <t>T9197 - WARRANT AND EXTRADITION AIDE</t>
  </si>
  <si>
    <t>9F018490615DD3</t>
  </si>
  <si>
    <t>9F018490615DD3 - ROWE, BRIAN M</t>
  </si>
  <si>
    <t>OT 1_0</t>
  </si>
  <si>
    <t>D57</t>
  </si>
  <si>
    <t>A0020</t>
  </si>
  <si>
    <t>T9197</t>
  </si>
  <si>
    <t>9F018490615DD320239824134983456631</t>
  </si>
  <si>
    <t>$735.43</t>
  </si>
  <si>
    <t>T9161 - POLICE OFFICER</t>
  </si>
  <si>
    <t>C02E072AF16907</t>
  </si>
  <si>
    <t>C02E072AF16907 - MONTE,  GRANT L</t>
  </si>
  <si>
    <t>T9161</t>
  </si>
  <si>
    <t>C02E072AF16907202511763021668089124</t>
  </si>
  <si>
    <t>90D4F9839B1EE320234238395928473509</t>
  </si>
  <si>
    <t>541CC65F52A26C</t>
  </si>
  <si>
    <t>541CC65F52A26C - LAW, JOHN A</t>
  </si>
  <si>
    <t>541CC65F52A26C20234365252906832652</t>
  </si>
  <si>
    <t>$4,134.5</t>
  </si>
  <si>
    <t>T0381 - DIR OF ADMINISTRATION II</t>
  </si>
  <si>
    <t>4450854AC2FA16</t>
  </si>
  <si>
    <t>4450854AC2FA16 - CANNON, ANGELA</t>
  </si>
  <si>
    <t>T0381</t>
  </si>
  <si>
    <t>4450854AC2FA1620234458426745067768</t>
  </si>
  <si>
    <t>73BA524443E82D20234679780347246004</t>
  </si>
  <si>
    <t>$2,783.5</t>
  </si>
  <si>
    <t>T1912 - PROJECT COORD</t>
  </si>
  <si>
    <t>630B0B07D3A05D</t>
  </si>
  <si>
    <t>630B0B07D3A05D - BATSON, ELAINE S</t>
  </si>
  <si>
    <t>T1912</t>
  </si>
  <si>
    <t>630B0B07D3A05D20234313086520115297</t>
  </si>
  <si>
    <t>$3,278</t>
  </si>
  <si>
    <t>5E305F19D06DF7</t>
  </si>
  <si>
    <t>5E305F19D06DF7 - KLICH-JENSEN, JANINE</t>
  </si>
  <si>
    <t>5E305F19D06DF720234541500789363721</t>
  </si>
  <si>
    <t>$2,934.5</t>
  </si>
  <si>
    <t>7493FE5A25A088</t>
  </si>
  <si>
    <t>7493FE5A25A088 - TAYLOR, TYLER H</t>
  </si>
  <si>
    <t>7493FE5A25A08820234323238095024397</t>
  </si>
  <si>
    <t>FABEBFAD17362B20234853509367174866</t>
  </si>
  <si>
    <t>$5,478</t>
  </si>
  <si>
    <t>T9679 - DEPUTY COMMISSIONER</t>
  </si>
  <si>
    <t>3EF80AD5153430</t>
  </si>
  <si>
    <t>3EF80AD5153430 - SCHMITZ, MATTHEW M</t>
  </si>
  <si>
    <t>T9679</t>
  </si>
  <si>
    <t>3EF80AD515343020234786050210928568</t>
  </si>
  <si>
    <t>B1DCE5C3C3A04420235468118001924185</t>
  </si>
  <si>
    <t>$3,055.5</t>
  </si>
  <si>
    <t>T0802 - EXEC ADMINISTRATIVE ASST II</t>
  </si>
  <si>
    <t>2CFFBB6B41AD02</t>
  </si>
  <si>
    <t>2CFFBB6B41AD02 - HILL, SAMANTHA</t>
  </si>
  <si>
    <t>T0802</t>
  </si>
  <si>
    <t>2CFFBB6B41AD0220235801464975284264</t>
  </si>
  <si>
    <t>$6,111.5</t>
  </si>
  <si>
    <t>T9813 - MANAGING DEPUTY COMMISSIONER</t>
  </si>
  <si>
    <t>F9DD478927ED38</t>
  </si>
  <si>
    <t>F9DD478927ED38 - HAMILTON, NATASHA A</t>
  </si>
  <si>
    <t>T9813</t>
  </si>
  <si>
    <t>F9DD478927ED3820235688954116539863</t>
  </si>
  <si>
    <t>$546.7</t>
  </si>
  <si>
    <t>T0404 - STUDENT INTERN</t>
  </si>
  <si>
    <t>9267D826BCE759</t>
  </si>
  <si>
    <t>9267D826BCE759 - MCKEE, ZACHARIA G</t>
  </si>
  <si>
    <t>REGULAR TIME</t>
  </si>
  <si>
    <t>T0404</t>
  </si>
  <si>
    <t>9267D826BCE75920235437052817851953</t>
  </si>
  <si>
    <t>$-1,378.03</t>
  </si>
  <si>
    <t>23815B41C0825F</t>
  </si>
  <si>
    <t>23815B41C0825F - MORENO, BRIAN K</t>
  </si>
  <si>
    <t>23815B41C0825F20235958462339872151</t>
  </si>
  <si>
    <t>$3,095</t>
  </si>
  <si>
    <t>396687DBE15512</t>
  </si>
  <si>
    <t>396687DBE15512 - LIANG, SUNNY S</t>
  </si>
  <si>
    <t>396687DBE1551220235377698839693250</t>
  </si>
  <si>
    <t>$3,394.5</t>
  </si>
  <si>
    <t>T0308 - STAFF ASST</t>
  </si>
  <si>
    <t>65FD61E57B6B1E</t>
  </si>
  <si>
    <t>65FD61E57B6B1E - MORGAN, LASHONDA L</t>
  </si>
  <si>
    <t>T0308</t>
  </si>
  <si>
    <t>65FD61E57B6B1E20235797622725877600</t>
  </si>
  <si>
    <t>0A30E99A8A025B20235203201728060055</t>
  </si>
  <si>
    <t>T0361 - DIR OF PERSONNEL POLICIES AND UTILIZATION</t>
  </si>
  <si>
    <t>513015410636C7</t>
  </si>
  <si>
    <t>513015410636C7 - HENRY, AMY L</t>
  </si>
  <si>
    <t>T0361</t>
  </si>
  <si>
    <t>513015410636C72023528004163358235</t>
  </si>
  <si>
    <t>$3,250</t>
  </si>
  <si>
    <t>C14B6B30C583A3</t>
  </si>
  <si>
    <t>C14B6B30C583A3 - HOLLAND, WILLIAM R</t>
  </si>
  <si>
    <t>C14B6B30C583A320235796557712109903</t>
  </si>
  <si>
    <t>$3,245.5</t>
  </si>
  <si>
    <t>T1984 - COORD OF ECON DEV I - PLNG &amp; DEV</t>
  </si>
  <si>
    <t>CB69C9459F68D3</t>
  </si>
  <si>
    <t>CB69C9459F68D3 - MUHAMMAD, FARIDUDDIN M</t>
  </si>
  <si>
    <t>T1984</t>
  </si>
  <si>
    <t>CB69C9459F68D320235334281582114855</t>
  </si>
  <si>
    <t>$4,064.5</t>
  </si>
  <si>
    <t>T0310 - PROJECT MANAGER</t>
  </si>
  <si>
    <t>C0941D522C8AA2</t>
  </si>
  <si>
    <t>C0941D522C8AA2 - JOHNSON, AARON M</t>
  </si>
  <si>
    <t>T0310</t>
  </si>
  <si>
    <t>C0941D522C8AA220236284976195573499</t>
  </si>
  <si>
    <t>$4,229.5</t>
  </si>
  <si>
    <t>F3EF8F82678221</t>
  </si>
  <si>
    <t>F3EF8F82678221 - DURHAM, DESTINY L</t>
  </si>
  <si>
    <t>F3EF8F826782212023632243522923378</t>
  </si>
  <si>
    <t>F9DD478927ED3820236469527392481897</t>
  </si>
  <si>
    <t>541CC65F52A26C20236372194145188451</t>
  </si>
  <si>
    <t>4450854AC2FA1620236615115433012366</t>
  </si>
  <si>
    <t>$2,791</t>
  </si>
  <si>
    <t>BB2CA722F12B5C</t>
  </si>
  <si>
    <t>BB2CA722F12B5C - RICE, CARL M</t>
  </si>
  <si>
    <t>BB2CA722F12B5C20236555409024020609</t>
  </si>
  <si>
    <t>T1299 - CHIEF ZONING PLAN EXAMINER</t>
  </si>
  <si>
    <t>B15F2BF1B8191D</t>
  </si>
  <si>
    <t>B15F2BF1B8191D - ROBLES, ANNA M</t>
  </si>
  <si>
    <t>T1299</t>
  </si>
  <si>
    <t>B15F2BF1B8191D20236821802842809754</t>
  </si>
  <si>
    <t>C14B6B30C583A320236863931872583552</t>
  </si>
  <si>
    <t>630B0B07D3A05D20236253274886166108</t>
  </si>
  <si>
    <t>$3,946</t>
  </si>
  <si>
    <t>74B174B46488E8</t>
  </si>
  <si>
    <t>74B174B46488E8 - GUSTAFSON, MEG E</t>
  </si>
  <si>
    <t>74B174B46488E820236100681642715556</t>
  </si>
  <si>
    <t>197E06974C23C420236468024885715701</t>
  </si>
  <si>
    <t>6AE3E9CF0CE16820236200631848957723</t>
  </si>
  <si>
    <t>$5,816.5</t>
  </si>
  <si>
    <t>T9654 - ZONING ADMINISTRATOR</t>
  </si>
  <si>
    <t>8DF8DD37E2FDC3</t>
  </si>
  <si>
    <t>8DF8DD37E2FDC3 - MURPHEY, THOMAS P</t>
  </si>
  <si>
    <t>T9654</t>
  </si>
  <si>
    <t>8DF8DD37E2FDC320236475960738484286</t>
  </si>
  <si>
    <t>0CE7E5BE6A6E31</t>
  </si>
  <si>
    <t>0CE7E5BE6A6E31 - MUNGIN, WHITNI E</t>
  </si>
  <si>
    <t>0CE7E5BE6A6E3120237272742156082887</t>
  </si>
  <si>
    <t>90D4F9839B1EE320237690857492138441</t>
  </si>
  <si>
    <t>65FD61E57B6B1E20237510193819739962</t>
  </si>
  <si>
    <t>87103CE3469AB6</t>
  </si>
  <si>
    <t>87103CE3469AB6 - JIRASEK, GABRIELA C</t>
  </si>
  <si>
    <t>87103CE3469AB620237590392562806332</t>
  </si>
  <si>
    <t>$5,152.5</t>
  </si>
  <si>
    <t>T1291 - ZONING INVESTIGATOR</t>
  </si>
  <si>
    <t>DDCDFA43F562C4</t>
  </si>
  <si>
    <t>DDCDFA43F562C4 - RAMIREZ, CARLOS H</t>
  </si>
  <si>
    <t>T1291</t>
  </si>
  <si>
    <t>DDCDFA43F562C420237206287315938752</t>
  </si>
  <si>
    <t>D6F0FB9FC44E1720237349922751767571</t>
  </si>
  <si>
    <t>$1,738.79</t>
  </si>
  <si>
    <t>D59 - Chicago Fire Department</t>
  </si>
  <si>
    <t>T8801 - FIREFIGHTER-EMT</t>
  </si>
  <si>
    <t>BCA6F6764655B9</t>
  </si>
  <si>
    <t>BCA6F6764655B9 - RICHKO JR, ANTHONY E</t>
  </si>
  <si>
    <t>OT 1_5</t>
  </si>
  <si>
    <t>D59</t>
  </si>
  <si>
    <t>T8801</t>
  </si>
  <si>
    <t>BCA6F6764655B9202324855704774357036</t>
  </si>
  <si>
    <t>T1310 - ADMINISTRATIVE SERVICES OFFICER II EXCLD</t>
  </si>
  <si>
    <t>D55E0AE91386C5</t>
  </si>
  <si>
    <t>D55E0AE91386C5 - ALNASER, ANNA Y</t>
  </si>
  <si>
    <t>T1310</t>
  </si>
  <si>
    <t>D55E0AE91386C520237554585713164047</t>
  </si>
  <si>
    <t>17BE1C79346928</t>
  </si>
  <si>
    <t>17BE1C79346928 - PATE, ONEIDA R</t>
  </si>
  <si>
    <t>17BE1C7934692820237325957532499951</t>
  </si>
  <si>
    <t>7493FE5A25A08820237379586312321507</t>
  </si>
  <si>
    <t>$5,317</t>
  </si>
  <si>
    <t>CB66CA7BBB392E</t>
  </si>
  <si>
    <t>CB66CA7BBB392E - ROUBIK, CYNTHIA J</t>
  </si>
  <si>
    <t>CB66CA7BBB392E20237390786019826708</t>
  </si>
  <si>
    <t>$3,945</t>
  </si>
  <si>
    <t>1AFFC8FE80ACB620238575010423298597</t>
  </si>
  <si>
    <t>$3,398</t>
  </si>
  <si>
    <t>T1437 - FINANCIAL PLANNING ANALYST - EXCLD</t>
  </si>
  <si>
    <t>D4A27913C9EEDD</t>
  </si>
  <si>
    <t>D4A27913C9EEDD - COLLINS, KATRINA M</t>
  </si>
  <si>
    <t>T1437</t>
  </si>
  <si>
    <t>D4A27913C9EEDD20238578967774157889</t>
  </si>
  <si>
    <t>T1290 - MANAGER - ZONING BD OF APPEALS</t>
  </si>
  <si>
    <t>FD79F1E16BD724</t>
  </si>
  <si>
    <t>FD79F1E16BD724 - RESA, VICTOR T</t>
  </si>
  <si>
    <t>T1290</t>
  </si>
  <si>
    <t>FD79F1E16BD72420238189854018916055</t>
  </si>
  <si>
    <t>$4,043</t>
  </si>
  <si>
    <t>D85FA8CFF69D28</t>
  </si>
  <si>
    <t>D85FA8CFF69D28 - KHALIQUE, FARHAN A</t>
  </si>
  <si>
    <t>D85FA8CFF69D2820238143822330444612</t>
  </si>
  <si>
    <t>BB2CA722F12B5C20238106831143182751</t>
  </si>
  <si>
    <t>$4,444.5</t>
  </si>
  <si>
    <t>T1441 - COORDINATING PLANNER</t>
  </si>
  <si>
    <t>70DEDA4C2BBA80</t>
  </si>
  <si>
    <t>70DEDA4C2BBA80 - KLAIBER, DANIEL R</t>
  </si>
  <si>
    <t>T1441</t>
  </si>
  <si>
    <t>70DEDA4C2BBA8020238587440627296735</t>
  </si>
  <si>
    <t>9B82270E9FBFC920238783115850861644</t>
  </si>
  <si>
    <t>8DF8DD37E2FDC320238667996374234155</t>
  </si>
  <si>
    <t>3EF80AD515343020238890320861238432</t>
  </si>
  <si>
    <t>B1DCE5C3C3A04420239765691591455897</t>
  </si>
  <si>
    <t>$2,206.5</t>
  </si>
  <si>
    <t>T0366 - STAFF ASSISTANT - EXCLUDED</t>
  </si>
  <si>
    <t>B997D21DD188D1</t>
  </si>
  <si>
    <t>B997D21DD188D1 - WINDMON, HEATHER E</t>
  </si>
  <si>
    <t>T0366</t>
  </si>
  <si>
    <t>B997D21DD188D120239609786536368857</t>
  </si>
  <si>
    <t>$4,579.5</t>
  </si>
  <si>
    <t>8D033298A9797A</t>
  </si>
  <si>
    <t>8D033298A9797A - RADZEVICH, NANCY M</t>
  </si>
  <si>
    <t>8D033298A9797A20239877376232028578</t>
  </si>
  <si>
    <t>$2,828</t>
  </si>
  <si>
    <t>T0801 - EXEC ADMINISTRATIVE ASST I</t>
  </si>
  <si>
    <t>32EEDD57B92F73</t>
  </si>
  <si>
    <t>32EEDD57B92F73 - RODRIGUEZ, VELIA C</t>
  </si>
  <si>
    <t>T0801</t>
  </si>
  <si>
    <t>32EEDD57B92F7320239260267369094252</t>
  </si>
  <si>
    <t>$4,541.5</t>
  </si>
  <si>
    <t>AF76F191B02EDD</t>
  </si>
  <si>
    <t>AF76F191B02EDD - GAETA, JOSE O</t>
  </si>
  <si>
    <t>AF76F191B02EDD20239106244295749156</t>
  </si>
  <si>
    <t>4146A18BC5805C20239235448401965350</t>
  </si>
  <si>
    <t>$664.99</t>
  </si>
  <si>
    <t>CA4319197CF51D</t>
  </si>
  <si>
    <t>CA4319197CF51D - ZHENG, CHEN Q</t>
  </si>
  <si>
    <t>OT FLSA</t>
  </si>
  <si>
    <t>CA4319197CF51D20231916858486782633</t>
  </si>
  <si>
    <t>$3,166.5</t>
  </si>
  <si>
    <t>F3A7E2AE494905</t>
  </si>
  <si>
    <t>F3A7E2AE494905 - MARTINEZ, SAMIE</t>
  </si>
  <si>
    <t>F3A7E2AE49490520239458356207826026</t>
  </si>
  <si>
    <t>$1,557.38</t>
  </si>
  <si>
    <t>241AE96B5E1AA2</t>
  </si>
  <si>
    <t>241AE96B5E1AA2 - MURDOCH,  JASON J</t>
  </si>
  <si>
    <t>241AE96B5E1AA220258953830382837370</t>
  </si>
  <si>
    <t>$4,330</t>
  </si>
  <si>
    <t>B070D8D0C55BEE</t>
  </si>
  <si>
    <t>B070D8D0C55BEE - ORTEGA, VICTORIA L</t>
  </si>
  <si>
    <t>B070D8D0C55BEE20239597653896579936</t>
  </si>
  <si>
    <t>$4,750.5</t>
  </si>
  <si>
    <t>197E06974C23C420239685947632103949</t>
  </si>
  <si>
    <t>$3,113</t>
  </si>
  <si>
    <t>7493FE5A25A08820239664681460093093</t>
  </si>
  <si>
    <t>0CE7E5BE6A6E31202310131779795660590</t>
  </si>
  <si>
    <t>F9DD478927ED38202310370515909270534</t>
  </si>
  <si>
    <t>B8E59990646B62202310844887281279823</t>
  </si>
  <si>
    <t>C0941D522C8AA220231223537921004955</t>
  </si>
  <si>
    <t>F3EF8F8267822120231415441315447343</t>
  </si>
  <si>
    <t>1AFFC8FE80ACB620231860810374937062</t>
  </si>
  <si>
    <t>396687DBE1551220231646795093306382</t>
  </si>
  <si>
    <t>CB3769E02D0B31</t>
  </si>
  <si>
    <t>CB3769E02D0B31 - BARTLETT, KYLE W</t>
  </si>
  <si>
    <t>CB3769E02D0B3120231271158504087964</t>
  </si>
  <si>
    <t>$4,280.5</t>
  </si>
  <si>
    <t>9A02E547CCA939</t>
  </si>
  <si>
    <t>9A02E547CCA939 - HILL, JANICE D</t>
  </si>
  <si>
    <t>9A02E547CCA93920231586919804171111</t>
  </si>
  <si>
    <t>6D3FFD791FF9FB</t>
  </si>
  <si>
    <t>6D3FFD791FF9FB - VELAZQUEZ, JEANETTE</t>
  </si>
  <si>
    <t>6D3FFD791FF9FB20231188254862249989</t>
  </si>
  <si>
    <t>T3092 - PROGRAM DIR</t>
  </si>
  <si>
    <t>50F8EE0864C0D0</t>
  </si>
  <si>
    <t>50F8EE0864C0D0 - CURRY, NORA</t>
  </si>
  <si>
    <t>T3092</t>
  </si>
  <si>
    <t>50F8EE0864C0D020231668440643490959</t>
  </si>
  <si>
    <t>B03B858E2749B9</t>
  </si>
  <si>
    <t>B03B858E2749B9 - RAMOS, JOYCE I</t>
  </si>
  <si>
    <t>B03B858E2749B92023185527688210747</t>
  </si>
  <si>
    <t>82B04939FB8D7C</t>
  </si>
  <si>
    <t>82B04939FB8D7C - GARCIA, GERARDO</t>
  </si>
  <si>
    <t>82B04939FB8D7C2023137987704369656</t>
  </si>
  <si>
    <t>C0941D522C8AA220232315843711266992</t>
  </si>
  <si>
    <t>C28E727C8EB8AF20232345957093065425</t>
  </si>
  <si>
    <t>$985.6</t>
  </si>
  <si>
    <t>9267D826BCE75920232187391325290696</t>
  </si>
  <si>
    <t>65FD61E57B6B1E20232422473618415207</t>
  </si>
  <si>
    <t>$2,665.5</t>
  </si>
  <si>
    <t>2CA9E6F50425D8</t>
  </si>
  <si>
    <t>2CA9E6F50425D8 - PENA, ANTONIO G</t>
  </si>
  <si>
    <t>2CA9E6F50425D820232842175449445209</t>
  </si>
  <si>
    <t>9A02E547CCA93920232547361063203240</t>
  </si>
  <si>
    <t>4146A18BC5805C20232488611115051394</t>
  </si>
  <si>
    <t>C57C9A2F1A1F8D20232577852367612658</t>
  </si>
  <si>
    <t>$3,360.5</t>
  </si>
  <si>
    <t>4C90C223CE8BDC</t>
  </si>
  <si>
    <t>4C90C223CE8BDC - MICHAELS, JAMES</t>
  </si>
  <si>
    <t>4C90C223CE8BDC20232734241512143353</t>
  </si>
  <si>
    <t>CB69C9459F68D320232751449506462898</t>
  </si>
  <si>
    <t>82B04939FB8D7C20232159550536882958</t>
  </si>
  <si>
    <t>$3,467</t>
  </si>
  <si>
    <t>10A1E0D57AA009</t>
  </si>
  <si>
    <t>10A1E0D57AA009 - WHEATEN, KEISHA J</t>
  </si>
  <si>
    <t>10A1E0D57AA0092023359828702717109</t>
  </si>
  <si>
    <t>$365.75</t>
  </si>
  <si>
    <t>A8DBAEAB083E9C</t>
  </si>
  <si>
    <t>A8DBAEAB083E9C - O'BRIEN, JACK F</t>
  </si>
  <si>
    <t>A8DBAEAB083E9C20233843730227330464</t>
  </si>
  <si>
    <t>4146A18BC5805C20233273021595011387</t>
  </si>
  <si>
    <t>91B9D86BE64118</t>
  </si>
  <si>
    <t>91B9D86BE64118 - PLOMIN, KALPANA S</t>
  </si>
  <si>
    <t>91B9D86BE6411820233654709438233720</t>
  </si>
  <si>
    <t>F76D859E13FC1F</t>
  </si>
  <si>
    <t>F76D859E13FC1F - O'CONNOR, STEPHANIE K</t>
  </si>
  <si>
    <t>F76D859E13FC1F20234251621994367238</t>
  </si>
  <si>
    <t>10A1E0D57AA00920234662114918106375</t>
  </si>
  <si>
    <t>0CE7E5BE6A6E3120234472235539688520</t>
  </si>
  <si>
    <t>1AFFC8FE80ACB620234237183640283501</t>
  </si>
  <si>
    <t>C28E727C8EB8AF20234460415260199420</t>
  </si>
  <si>
    <t>9A02E547CCA93920234169789335951593</t>
  </si>
  <si>
    <t>C14B6B30C583A320234991233386054461</t>
  </si>
  <si>
    <t>B656AB20A22A77</t>
  </si>
  <si>
    <t>B656AB20A22A77 - RHYMES, MICHELE A</t>
  </si>
  <si>
    <t>B656AB20A22A7720234492208739372034</t>
  </si>
  <si>
    <t>70DEDA4C2BBA8020234616515620681053</t>
  </si>
  <si>
    <t>F7E2A58A9A8CE4</t>
  </si>
  <si>
    <t>F7E2A58A9A8CE4 - MASON JOHNSON, CHRISTINA</t>
  </si>
  <si>
    <t>F7E2A58A9A8CE420234767362917607447</t>
  </si>
  <si>
    <t>74B174B46488E820234478864247053851</t>
  </si>
  <si>
    <t>82B04939FB8D7C20234732335115854664</t>
  </si>
  <si>
    <t>C0941D522C8AA220235548053089649983</t>
  </si>
  <si>
    <t>D85FA8CFF69D2820235185379902026090</t>
  </si>
  <si>
    <t>DDCDFA43F562C420235676695171689745</t>
  </si>
  <si>
    <t>17BE1C7934692820235498995765117273</t>
  </si>
  <si>
    <t>C57C9A2F1A1F8D20235381532938414464</t>
  </si>
  <si>
    <t>197E06974C23C420235820559275635700</t>
  </si>
  <si>
    <t>91B9D86BE6411820235998833125154571</t>
  </si>
  <si>
    <t>F76D859E13FC1F - O'CONNOR, STEPH K</t>
  </si>
  <si>
    <t>F76D859E13FC1F2023677036418253677</t>
  </si>
  <si>
    <t>1AFFC8FE80ACB620236846256689184813</t>
  </si>
  <si>
    <t>C28E727C8EB8AF20236921259036331163</t>
  </si>
  <si>
    <t>26CA8CCA8B78E4</t>
  </si>
  <si>
    <t>26CA8CCA8B78E4 - SZAFRANIEC, NOAH J</t>
  </si>
  <si>
    <t>26CA8CCA8B78E42023652518351125525</t>
  </si>
  <si>
    <t>E8E9DEF8EB7E0B</t>
  </si>
  <si>
    <t>E8E9DEF8EB7E0B - MARMO, MICHAEL A</t>
  </si>
  <si>
    <t>E8E9DEF8EB7E0B20236222140578946555</t>
  </si>
  <si>
    <t>$3,503.5</t>
  </si>
  <si>
    <t>FABEBFAD17362B20236372287837014639</t>
  </si>
  <si>
    <t>91B9D86BE6411820236165191624780006</t>
  </si>
  <si>
    <t>10A1E0D57AA00920237328089474647500</t>
  </si>
  <si>
    <t>F9DD478927ED3820237188382381370728</t>
  </si>
  <si>
    <t>$515.9</t>
  </si>
  <si>
    <t>A8DBAEAB083E9C20237769999335241914</t>
  </si>
  <si>
    <t>$654.5</t>
  </si>
  <si>
    <t>9267D826BCE75920237683143107397466</t>
  </si>
  <si>
    <t>$4,594</t>
  </si>
  <si>
    <t>F3EF8F82678221 - DURHAM,  DESTINY L</t>
  </si>
  <si>
    <t>F3EF8F8267822120257831054120965833</t>
  </si>
  <si>
    <t>$4,976.5</t>
  </si>
  <si>
    <t>T0304 - ASST TO THE COMMISSIONER</t>
  </si>
  <si>
    <t>9F6B7F152156C8</t>
  </si>
  <si>
    <t>9F6B7F152156C8 - ELIAS, LYNETTE M</t>
  </si>
  <si>
    <t>T0304</t>
  </si>
  <si>
    <t>9F6B7F152156C820237117256825179969</t>
  </si>
  <si>
    <t>64B7C34724F7F0</t>
  </si>
  <si>
    <t>64B7C34724F7F0 - HARRISON, KIMBERLEY A</t>
  </si>
  <si>
    <t>64B7C34724F7F020237549190929366234</t>
  </si>
  <si>
    <t>92E1F59DF1DF8D20237153012995021040</t>
  </si>
  <si>
    <t>9A02E547CCA93920237426441645715089</t>
  </si>
  <si>
    <t>73BA524443E82D20237830728330824809</t>
  </si>
  <si>
    <t>50F8EE0864C0D020237741260102351746</t>
  </si>
  <si>
    <t>B03B858E2749B920237821682535081228</t>
  </si>
  <si>
    <t>A38F3ED12B746E</t>
  </si>
  <si>
    <t>A38F3ED12B746E - DICKHUT, KATHLEEN E</t>
  </si>
  <si>
    <t>A38F3ED12B746E20237553585837554904</t>
  </si>
  <si>
    <t>2CFFBB6B41AD0220238881577858385903</t>
  </si>
  <si>
    <t>$4,232.5</t>
  </si>
  <si>
    <t>DCCA7ADE67CA55</t>
  </si>
  <si>
    <t>DCCA7ADE67CA55 - O'DONNELL, BRIAN</t>
  </si>
  <si>
    <t>DCCA7ADE67CA5520238406679785424872</t>
  </si>
  <si>
    <t>F9DD478927ED3820238958670783614633</t>
  </si>
  <si>
    <t>0CFC9620D18B26</t>
  </si>
  <si>
    <t>0CFC9620D18B26 - SMAILBEGOVIC, OMAR</t>
  </si>
  <si>
    <t>0CFC9620D18B262023821663669418621</t>
  </si>
  <si>
    <t>$4,487.5</t>
  </si>
  <si>
    <t>FB1ED4EDF19B41</t>
  </si>
  <si>
    <t>FB1ED4EDF19B41 - GARZA, CYNTHIA A</t>
  </si>
  <si>
    <t>FB1ED4EDF19B412023823129499989026</t>
  </si>
  <si>
    <t>0CE7E5BE6A6E3120239158728480224972</t>
  </si>
  <si>
    <t>T0705 - DIR OF PUBLIC AFFAIRS</t>
  </si>
  <si>
    <t>35FA5F14BDD99A</t>
  </si>
  <si>
    <t>35FA5F14BDD99A - ALSAMMARAE, RIMA A</t>
  </si>
  <si>
    <t>T0705</t>
  </si>
  <si>
    <t>35FA5F14BDD99A2023953431453905193</t>
  </si>
  <si>
    <t>0A30E99A8A025B20239779601424321648</t>
  </si>
  <si>
    <t>$2,872.5</t>
  </si>
  <si>
    <t>C57C9A2F1A1F8D20239191766741451562</t>
  </si>
  <si>
    <t>$3,768.5</t>
  </si>
  <si>
    <t>4850B0ADA500EA</t>
  </si>
  <si>
    <t>4850B0ADA500EA - SCHNEIDER, JOHN A</t>
  </si>
  <si>
    <t>4850B0ADA500EA20239703784875494745</t>
  </si>
  <si>
    <t>816FFCA85FAFED</t>
  </si>
  <si>
    <t>816FFCA85FAFED - ROSCHEN, MARK E</t>
  </si>
  <si>
    <t>816FFCA85FAFED20231092285347400249</t>
  </si>
  <si>
    <t>T1407 - URBAN DESIGNER</t>
  </si>
  <si>
    <t>97CD6D4F3F26BF</t>
  </si>
  <si>
    <t>97CD6D4F3F26BF - ASTUDILLO, ROBERTO</t>
  </si>
  <si>
    <t>T1407</t>
  </si>
  <si>
    <t>97CD6D4F3F26BF202310798157936318213</t>
  </si>
  <si>
    <t>$2,941.72</t>
  </si>
  <si>
    <t>241AE96B5E1AA2202510642316225602074</t>
  </si>
  <si>
    <t>70DEDA4C2BBA80202310537416149781300</t>
  </si>
  <si>
    <t>04115775EBE70E</t>
  </si>
  <si>
    <t>04115775EBE70E - CHASE, JESSIE L</t>
  </si>
  <si>
    <t>04115775EBE70E202310876919580944743</t>
  </si>
  <si>
    <t>CB69C9459F68D3202310843849717116180</t>
  </si>
  <si>
    <t>$296.45</t>
  </si>
  <si>
    <t>9B6AC3D17F92B5</t>
  </si>
  <si>
    <t>9B6AC3D17F92B5 - MERCADO, MIKAELA N</t>
  </si>
  <si>
    <t>9B6AC3D17F92B5202311296457512636305</t>
  </si>
  <si>
    <t>$596.75</t>
  </si>
  <si>
    <t>T9625 - STAFF ASST TO THE ALDERMAN</t>
  </si>
  <si>
    <t>1F544A13C7D52A</t>
  </si>
  <si>
    <t>1F544A13C7D52A - LUCIO, CRISTINA</t>
  </si>
  <si>
    <t>T9625</t>
  </si>
  <si>
    <t>1F544A13C7D52A202311628873144718631</t>
  </si>
  <si>
    <t>03D778202FF215</t>
  </si>
  <si>
    <t>03D778202FF215 - MICH, LUKE A</t>
  </si>
  <si>
    <t>03D778202FF215202311504689189540661</t>
  </si>
  <si>
    <t>$4,778.5</t>
  </si>
  <si>
    <t>541CC65F52A26C202311576228587030013</t>
  </si>
  <si>
    <t>DDCDFA43F562C42023114105288022840</t>
  </si>
  <si>
    <t>816240EBBA6C50</t>
  </si>
  <si>
    <t>816240EBBA6C50 - CLAYTON, LOUIS R</t>
  </si>
  <si>
    <t>816240EBBA6C50202311848976768912551</t>
  </si>
  <si>
    <t>5E873B8A25701F</t>
  </si>
  <si>
    <t>5E873B8A25701F - JONES, VONETTA W</t>
  </si>
  <si>
    <t>5E873B8A25701F20231970870365231125</t>
  </si>
  <si>
    <t>F9DD478927ED3820231488759202806523</t>
  </si>
  <si>
    <t>$719.95</t>
  </si>
  <si>
    <t>9267D826BCE7592023180488109169106</t>
  </si>
  <si>
    <t>$-133.8</t>
  </si>
  <si>
    <t>B070D8D0C55BEE20231330160860251584</t>
  </si>
  <si>
    <t>$142.5</t>
  </si>
  <si>
    <t>MISC EARNINGS SALARY</t>
  </si>
  <si>
    <t>396687DBE1551220231759383321676224</t>
  </si>
  <si>
    <t>AF76F191B02EDD20231789691123655908</t>
  </si>
  <si>
    <t>E8E9DEF8EB7E0B20231938659548541460</t>
  </si>
  <si>
    <t>04115775EBE70E2023119056752849133</t>
  </si>
  <si>
    <t>$3,560.5</t>
  </si>
  <si>
    <t>7505B3760D8E74</t>
  </si>
  <si>
    <t>7505B3760D8E74 - CASSIDY, MARGARET O</t>
  </si>
  <si>
    <t>7505B3760D8E7420231705188009669113</t>
  </si>
  <si>
    <t>F3EF8F8267822120232122999547329403</t>
  </si>
  <si>
    <t>0A30E99A8A025B20232769351545222646</t>
  </si>
  <si>
    <t>F3EF8F8267822120258871272077574507</t>
  </si>
  <si>
    <t>E6C53B81D58358</t>
  </si>
  <si>
    <t>E6C53B81D58358 - DUPLAGA, ALICIA</t>
  </si>
  <si>
    <t>E6C53B81D5835820232356884119459193</t>
  </si>
  <si>
    <t>AF76F191B02EDD20232183363342627673</t>
  </si>
  <si>
    <t>$2,657.5</t>
  </si>
  <si>
    <t>D55E0AE91386C520232901561065108184</t>
  </si>
  <si>
    <t>C14B6B30C583A32023268750301076495</t>
  </si>
  <si>
    <t>E8E9DEF8EB7E0B20232363488393690531</t>
  </si>
  <si>
    <t>91B9D86BE6411820232736808834703646</t>
  </si>
  <si>
    <t>$635.25</t>
  </si>
  <si>
    <t>9B6AC3D17F92B520233529668794758064</t>
  </si>
  <si>
    <t>$650.65</t>
  </si>
  <si>
    <t>9267D826BCE75920233829949844460471</t>
  </si>
  <si>
    <t>$-650.16</t>
  </si>
  <si>
    <t>90D4F9839B1EE320233115381040762311</t>
  </si>
  <si>
    <t>$-381.47</t>
  </si>
  <si>
    <t>8D033298A9797A20233447439692006757</t>
  </si>
  <si>
    <t>CB3769E02D0B3120233853221779874381</t>
  </si>
  <si>
    <t>D6F0FB9FC44E1720233738113784964570</t>
  </si>
  <si>
    <t>92E1F59DF1DF8D20233907443687807005</t>
  </si>
  <si>
    <t>B656AB20A22A7720233570830402343415</t>
  </si>
  <si>
    <t>4C90C223CE8BDC20233203120237085276</t>
  </si>
  <si>
    <t>D0F81716CD2DC3</t>
  </si>
  <si>
    <t>D0F81716CD2DC3 - NAPOLES, LISA G</t>
  </si>
  <si>
    <t>D0F81716CD2DC320233806691301624760</t>
  </si>
  <si>
    <t>B997D21DD188D12023472163612933729</t>
  </si>
  <si>
    <t>816FFCA85FAFED20234771609436054068</t>
  </si>
  <si>
    <t>$5,088</t>
  </si>
  <si>
    <t>T5404 - ARCHITECT IV</t>
  </si>
  <si>
    <t>FEC807F9B1CF02</t>
  </si>
  <si>
    <t>FEC807F9B1CF02 - CUVALO, DIJANA</t>
  </si>
  <si>
    <t>T5404</t>
  </si>
  <si>
    <t>FEC807F9B1CF0220234719502422097345</t>
  </si>
  <si>
    <t>1AFFC8FE80ACB620235284011743312377</t>
  </si>
  <si>
    <t>$7,916.5</t>
  </si>
  <si>
    <t>T9921 - COMMISSIONER OF HOUSING</t>
  </si>
  <si>
    <t>9CB9A9EE63E5EB</t>
  </si>
  <si>
    <t>9CB9A9EE63E5EB - NOVARA, MARISA C</t>
  </si>
  <si>
    <t>T9921</t>
  </si>
  <si>
    <t>9CB9A9EE63E5EB20235625453960804306</t>
  </si>
  <si>
    <t>CB3769E02D0B31202358463999145268</t>
  </si>
  <si>
    <t>FD79F1E16BD72420235550992995892376</t>
  </si>
  <si>
    <t>BE2EF730E01B53</t>
  </si>
  <si>
    <t>BE2EF730E01B53 - DUNKLEY, WILLIAM J</t>
  </si>
  <si>
    <t>BE2EF730E01B5320235999981750340013</t>
  </si>
  <si>
    <t>2CA9E6F50425D820235335506449456301</t>
  </si>
  <si>
    <t>92E1F59DF1DF8D20235920364767086639</t>
  </si>
  <si>
    <t>$2,302.91</t>
  </si>
  <si>
    <t>F3A7E2AE49490520235416139301149395</t>
  </si>
  <si>
    <t>82B04939FB8D7C20235346685680552857</t>
  </si>
  <si>
    <t>CB66CA7BBB392E20235491097365091385</t>
  </si>
  <si>
    <t>10A1E0D57AA00920236987911520839148</t>
  </si>
  <si>
    <t>5E873B8A25701F20236995885318384378</t>
  </si>
  <si>
    <t>$6,502.5</t>
  </si>
  <si>
    <t>B7A5D651A3EE74</t>
  </si>
  <si>
    <t>B7A5D651A3EE74 - ESENBERG, BRYAN</t>
  </si>
  <si>
    <t>B7A5D651A3EE7420236465659454956953</t>
  </si>
  <si>
    <t>$3,867.5</t>
  </si>
  <si>
    <t>875D1F5749F310</t>
  </si>
  <si>
    <t>875D1F5749F310 - MALAKPOUR, SOUSAN</t>
  </si>
  <si>
    <t>875D1F5749F31020236838310813032617</t>
  </si>
  <si>
    <t>32EEDD57B92F7320236857752563687236</t>
  </si>
  <si>
    <t>2CA9E6F50425D820236829982014411210</t>
  </si>
  <si>
    <t>9A02E547CCA93920236130623557650422</t>
  </si>
  <si>
    <t>816240EBBA6C5020236128032652544434</t>
  </si>
  <si>
    <t>C0C22C2EB8E347</t>
  </si>
  <si>
    <t>C0C22C2EB8E347 - LYON, MAXIMILIAN D</t>
  </si>
  <si>
    <t>C0C22C2EB8E34720236330042015714169</t>
  </si>
  <si>
    <t>0B53A61E880DE9</t>
  </si>
  <si>
    <t>0B53A61E880DE9 - ESPINOZA, FERNANDO</t>
  </si>
  <si>
    <t>0B53A61E880DE920236324214346731461</t>
  </si>
  <si>
    <t>70DEDA4C2BBA8020236495021915354380</t>
  </si>
  <si>
    <t>C57C9A2F1A1F8D20236423562072113951</t>
  </si>
  <si>
    <t>FB1ED4EDF19B4120236199155156718919</t>
  </si>
  <si>
    <t>1AFFC8FE80ACB620237829945142340155</t>
  </si>
  <si>
    <t>$-383.23</t>
  </si>
  <si>
    <t>90D4F9839B1EE320237623581306951781</t>
  </si>
  <si>
    <t>E6C53B81D5835820237179790241111047</t>
  </si>
  <si>
    <t>FABEBFAD17362B20237865855449440766</t>
  </si>
  <si>
    <t>65FD61E57B6B1E20238624258430625969</t>
  </si>
  <si>
    <t>C14B6B30C583A320238742419176031290</t>
  </si>
  <si>
    <t>C0C22C2EB8E34720238225488989904351</t>
  </si>
  <si>
    <t>7493FE5A25A08820238741435234690628</t>
  </si>
  <si>
    <t>B03B858E2749B920238877855028929065</t>
  </si>
  <si>
    <t>$8,123.5</t>
  </si>
  <si>
    <t>T9954 - COMMISSIONER OF PLANNING &amp; DEVELOPMENT</t>
  </si>
  <si>
    <t>6F8880ACA0EE59</t>
  </si>
  <si>
    <t>6F8880ACA0EE59 - COX, MAURICE D</t>
  </si>
  <si>
    <t>T9954</t>
  </si>
  <si>
    <t>6F8880ACA0EE5920238395690245648283</t>
  </si>
  <si>
    <t>2CFFBB6B41AD0220239458164438289444</t>
  </si>
  <si>
    <t>D4A27913C9EEDD20239201267641089291</t>
  </si>
  <si>
    <t>0334E70151367D</t>
  </si>
  <si>
    <t>0334E70151367D - MAYFIELD, ALEXIS S</t>
  </si>
  <si>
    <t>0334E70151367D20239699210670666372</t>
  </si>
  <si>
    <t>9CB9A9EE63E5EB20239827545796717067</t>
  </si>
  <si>
    <t>$4,140</t>
  </si>
  <si>
    <t>90D4F9839B1EE320239623538947929242</t>
  </si>
  <si>
    <t>$2,004</t>
  </si>
  <si>
    <t>Finance and Administration</t>
  </si>
  <si>
    <t>D38 - Department of Fleet and Facility Management</t>
  </si>
  <si>
    <t>T6605 - BLACKSMITH</t>
  </si>
  <si>
    <t>899A4D8E48CA2E</t>
  </si>
  <si>
    <t>899A4D8E48CA2E - SCHREMP, JAMES R</t>
  </si>
  <si>
    <t>OT 2_0</t>
  </si>
  <si>
    <t>D38</t>
  </si>
  <si>
    <t>T6605</t>
  </si>
  <si>
    <t>899A4D8E48CA2E202310322512425711551</t>
  </si>
  <si>
    <t>87103CE3469AB620239930261074439514</t>
  </si>
  <si>
    <t>4450854AC2FA162023975332107374536</t>
  </si>
  <si>
    <t>241AE96B5E1AA2202511730775059010927</t>
  </si>
  <si>
    <t>BE2EF730E01B5320239958727703254315</t>
  </si>
  <si>
    <t>2CA9E6F50425D820239925878706869272</t>
  </si>
  <si>
    <t>$4,423</t>
  </si>
  <si>
    <t>T1408 - SUPERVISING PLANNER</t>
  </si>
  <si>
    <t>8F3FF33ABC1766</t>
  </si>
  <si>
    <t>8F3FF33ABC1766 - SPERRY, HEIDI L</t>
  </si>
  <si>
    <t>T1408</t>
  </si>
  <si>
    <t>8F3FF33ABC176620239626635209494741</t>
  </si>
  <si>
    <t>D0F81716CD2DC320239748510617583678</t>
  </si>
  <si>
    <t>FDA2B40E79CE73</t>
  </si>
  <si>
    <t>FDA2B40E79CE73 - STRAZZABOSCO, PETER L</t>
  </si>
  <si>
    <t>FDA2B40E79CE7320239222101519299922</t>
  </si>
  <si>
    <t>3EF80AD515343020239675254645186794</t>
  </si>
  <si>
    <t>$-237.79</t>
  </si>
  <si>
    <t>T2915 - PROGRAM AUDITOR II</t>
  </si>
  <si>
    <t>D1B553A9FE3B68</t>
  </si>
  <si>
    <t>D1B553A9FE3B68 - DAFIAGHOR, ANSELL E</t>
  </si>
  <si>
    <t>T2915</t>
  </si>
  <si>
    <t>D1B553A9FE3B68202310256814889834911</t>
  </si>
  <si>
    <t>2CFFBB6B41AD02202310501438971300237</t>
  </si>
  <si>
    <t>$200.2</t>
  </si>
  <si>
    <t>9B6AC3D17F92B5202310108428018279185</t>
  </si>
  <si>
    <t>03D778202FF215202310504362106552503</t>
  </si>
  <si>
    <t>AF76F191B02EDD20231028595672019253</t>
  </si>
  <si>
    <t>8F3FF33ABC1766202310346408590742862</t>
  </si>
  <si>
    <t>E8E9DEF8EB7E0B20231062656761910707</t>
  </si>
  <si>
    <t>35FA5F14BDD99A202311850928373826344</t>
  </si>
  <si>
    <t>$5,047.5</t>
  </si>
  <si>
    <t>T9165 - POLICE OFFICER (ASSIGNED AS DETECTIVE)</t>
  </si>
  <si>
    <t>539E97E20B38C0</t>
  </si>
  <si>
    <t>539E97E20B38C0 - SKELLY, THOMAS W</t>
  </si>
  <si>
    <t>T9165</t>
  </si>
  <si>
    <t>539E97E20B38C0202319626442125047917</t>
  </si>
  <si>
    <t>$4,665.25</t>
  </si>
  <si>
    <t>CB642C1941B93D</t>
  </si>
  <si>
    <t>CB642C1941B93D - SMITH, REGGIE</t>
  </si>
  <si>
    <t>CB642C1941B93D202318452718445257209</t>
  </si>
  <si>
    <t>$4,571</t>
  </si>
  <si>
    <t>6A5E655302430D</t>
  </si>
  <si>
    <t>6A5E655302430D - ROONEY, SCOTT</t>
  </si>
  <si>
    <t>6A5E655302430D202316577242081374182</t>
  </si>
  <si>
    <t>$650</t>
  </si>
  <si>
    <t>A0091 - UNIFORM ALLOWANCE</t>
  </si>
  <si>
    <t>7DE180F44110A7</t>
  </si>
  <si>
    <t>7DE180F44110A7 - SALVAGE III, FRANK A</t>
  </si>
  <si>
    <t>UNIFORM ALLOWANCE</t>
  </si>
  <si>
    <t>A0091</t>
  </si>
  <si>
    <t>7DE180F44110A7202322202965306544376</t>
  </si>
  <si>
    <t>$3,521.75</t>
  </si>
  <si>
    <t>A10A5B5DAABA5D</t>
  </si>
  <si>
    <t>A10A5B5DAABA5D - GOCHEE, RAYMOND W</t>
  </si>
  <si>
    <t>A10A5B5DAABA5D202322386722009526984</t>
  </si>
  <si>
    <t>$235.8</t>
  </si>
  <si>
    <t>ENTERPRISE FUNDS</t>
  </si>
  <si>
    <t>F0610 - CHICAGO MIDWAY AIRPORT FUND</t>
  </si>
  <si>
    <t>Infrastructure Services</t>
  </si>
  <si>
    <t>D85 - Department of Aviation</t>
  </si>
  <si>
    <t>T4210 - AVIATION SECURITY OFFICER</t>
  </si>
  <si>
    <t>2DB9600893CC5D</t>
  </si>
  <si>
    <t>2DB9600893CC5D - BELLEL, KAFI N</t>
  </si>
  <si>
    <t>D85</t>
  </si>
  <si>
    <t>F0610</t>
  </si>
  <si>
    <t>T4210</t>
  </si>
  <si>
    <t>2DB9600893CC5D2023570235712910939</t>
  </si>
  <si>
    <t>$3,304.8</t>
  </si>
  <si>
    <t>SPECIAL REVENUE FUNDS</t>
  </si>
  <si>
    <t>F0300 - VEHICLE TAX FUND</t>
  </si>
  <si>
    <t>D84 - Chicago Department of Transportation</t>
  </si>
  <si>
    <t>T9539 - CONCRETE LABORER</t>
  </si>
  <si>
    <t>EA0578ECCC11D5</t>
  </si>
  <si>
    <t>EA0578ECCC11D5 - JOHNSON, DARIUS V</t>
  </si>
  <si>
    <t>D84</t>
  </si>
  <si>
    <t>F0300</t>
  </si>
  <si>
    <t>T9539</t>
  </si>
  <si>
    <t>EA0578ECCC11D520234631032901701835</t>
  </si>
  <si>
    <t>$1,036.36</t>
  </si>
  <si>
    <t>F0346 - LIBRARY FUND</t>
  </si>
  <si>
    <t>Community Services</t>
  </si>
  <si>
    <t>D91 - Chicago Public Library</t>
  </si>
  <si>
    <t>T0446 - LIBRARY CLERK - HOURLY</t>
  </si>
  <si>
    <t>68D076053D4C69</t>
  </si>
  <si>
    <t>68D076053D4C69 - CLARK, PHYLLIS K</t>
  </si>
  <si>
    <t>D91</t>
  </si>
  <si>
    <t>F0346</t>
  </si>
  <si>
    <t>T0446</t>
  </si>
  <si>
    <t>68D076053D4C69202313745021071861921</t>
  </si>
  <si>
    <t>$769.44</t>
  </si>
  <si>
    <t>GRANT FUNDS</t>
  </si>
  <si>
    <t>F0J49 - CDBG</t>
  </si>
  <si>
    <t>Regulatory</t>
  </si>
  <si>
    <t>D67 - Department of Buildings</t>
  </si>
  <si>
    <t>T2150 - BUILDING/CONSTRUCTION INSPECTOR</t>
  </si>
  <si>
    <t>EDC5A9868AF6D4</t>
  </si>
  <si>
    <t>EDC5A9868AF6D4 - VASQUEZ, JESUS</t>
  </si>
  <si>
    <t>MILEAGE</t>
  </si>
  <si>
    <t>D67</t>
  </si>
  <si>
    <t>F0J49</t>
  </si>
  <si>
    <t>T2150</t>
  </si>
  <si>
    <t>EDC5A9868AF6D42023626339419191825</t>
  </si>
  <si>
    <t>$180.08</t>
  </si>
  <si>
    <t>FG115 - EARLY HEAD START - CHILD CARE PARTNERSHP</t>
  </si>
  <si>
    <t>D50 - Department of Family and Support Services</t>
  </si>
  <si>
    <t>T0110 - ACCOUNTANT</t>
  </si>
  <si>
    <t>367BF14180EC73</t>
  </si>
  <si>
    <t>367BF14180EC73 - LOPEZ, TERESA</t>
  </si>
  <si>
    <t>D50</t>
  </si>
  <si>
    <t>FG115</t>
  </si>
  <si>
    <t>T0110</t>
  </si>
  <si>
    <t>367BF14180EC7320231858762302923047</t>
  </si>
  <si>
    <t>$3,932</t>
  </si>
  <si>
    <t>F0353 - EMERGENCY COMMUNICATION FUND</t>
  </si>
  <si>
    <t>D58 - Office of Emergency Management and Communications</t>
  </si>
  <si>
    <t>T8601 - POLICE COMMUNICATIONS OPERATOR I</t>
  </si>
  <si>
    <t>88774EB866F7EA</t>
  </si>
  <si>
    <t>88774EB866F7EA - LANHAM CASARES, MARY M</t>
  </si>
  <si>
    <t>D58</t>
  </si>
  <si>
    <t>F0353</t>
  </si>
  <si>
    <t>T8601</t>
  </si>
  <si>
    <t>88774EB866F7EA202316923064467907176</t>
  </si>
  <si>
    <t>$950</t>
  </si>
  <si>
    <t>A0022 - DUTY AVAILABILITY</t>
  </si>
  <si>
    <t>T8802 - FIREFIGHTER-EMT (RECRUIT)</t>
  </si>
  <si>
    <t>4F0B0BA8885532</t>
  </si>
  <si>
    <t>4F0B0BA8885532 - HOJEK JR, COREY M</t>
  </si>
  <si>
    <t>DUTY AVAILABILITY</t>
  </si>
  <si>
    <t>A0022</t>
  </si>
  <si>
    <t>T8802</t>
  </si>
  <si>
    <t>4F0B0BA888553220231451368806455069</t>
  </si>
  <si>
    <t>$628.22</t>
  </si>
  <si>
    <t>F0200 - WATER FUND</t>
  </si>
  <si>
    <t>D88 - Department of Water Management</t>
  </si>
  <si>
    <t>T7743 - OPERATING ENGINEER-GROUP A</t>
  </si>
  <si>
    <t>9312515841525C</t>
  </si>
  <si>
    <t>9312515841525C - HUERTA, JIM</t>
  </si>
  <si>
    <t>D88</t>
  </si>
  <si>
    <t>F0200</t>
  </si>
  <si>
    <t>T7743</t>
  </si>
  <si>
    <t>9312515841525C20236285759148463782</t>
  </si>
  <si>
    <t>$2,090.25</t>
  </si>
  <si>
    <t>A0027 - SUPERVISORS QUARTERLY PAYMENT</t>
  </si>
  <si>
    <t>T9171 - SERGEANT</t>
  </si>
  <si>
    <t>61FEC523F41718</t>
  </si>
  <si>
    <t>61FEC523F41718 - HINDMAN, DORA M</t>
  </si>
  <si>
    <t>SUPERVISORS QUARTERLY OT</t>
  </si>
  <si>
    <t>A0027</t>
  </si>
  <si>
    <t>T9171</t>
  </si>
  <si>
    <t>61FEC523F41718202312477974986205151</t>
  </si>
  <si>
    <t>4ABAEE545B0C64</t>
  </si>
  <si>
    <t>4ABAEE545B0C64 - BATEY, BRIAN L</t>
  </si>
  <si>
    <t>4ABAEE545B0C6420231855109058436380</t>
  </si>
  <si>
    <t>$187.2</t>
  </si>
  <si>
    <t>F0310 - MOTOR FUEL TAX FUND</t>
  </si>
  <si>
    <t>T8244 - FOREMAN OF LABORERS</t>
  </si>
  <si>
    <t>7C6DC512216645</t>
  </si>
  <si>
    <t>7C6DC512216645 - LEWIS, REGINALD A</t>
  </si>
  <si>
    <t>F0310</t>
  </si>
  <si>
    <t>T8244</t>
  </si>
  <si>
    <t>7C6DC512216645202311168044713666209</t>
  </si>
  <si>
    <t>$4,903.75</t>
  </si>
  <si>
    <t>64FC89DCE5DFE2</t>
  </si>
  <si>
    <t>64FC89DCE5DFE2 - SHAMAH, MOHAMMAD K</t>
  </si>
  <si>
    <t>64FC89DCE5DFE2202314523882672872812</t>
  </si>
  <si>
    <t>$1,318.8</t>
  </si>
  <si>
    <t>D81 - Department of Streets and Sanitation</t>
  </si>
  <si>
    <t>T7184 - POOL MOTOR TRUCK DRIVER</t>
  </si>
  <si>
    <t>0AC48D5FA29620</t>
  </si>
  <si>
    <t>0AC48D5FA29620 - PERKINS, JAZZMINE E</t>
  </si>
  <si>
    <t>D81</t>
  </si>
  <si>
    <t>T7184</t>
  </si>
  <si>
    <t>0AC48D5FA2962020234769523590248203</t>
  </si>
  <si>
    <t>$832.33</t>
  </si>
  <si>
    <t>F0740 - CHICAGO O'HARE AIRPORT FUND</t>
  </si>
  <si>
    <t>T7021 - AIRPORT OPERATIONS SUPVSR II</t>
  </si>
  <si>
    <t>DC60EE3A45CEDE</t>
  </si>
  <si>
    <t>DC60EE3A45CEDE - NORDSTROM, MICHAEL A</t>
  </si>
  <si>
    <t>F0740</t>
  </si>
  <si>
    <t>T7021</t>
  </si>
  <si>
    <t>DC60EE3A45CEDE20235593499402211488</t>
  </si>
  <si>
    <t>8CADA94B037B7A</t>
  </si>
  <si>
    <t>8CADA94B037B7A - GUNTER, ZARAK D</t>
  </si>
  <si>
    <t>8CADA94B037B7A202324829591892892939</t>
  </si>
  <si>
    <t>$471</t>
  </si>
  <si>
    <t>A2C645335CB754</t>
  </si>
  <si>
    <t>A2C645335CB754 - THOMAS, LUTHER</t>
  </si>
  <si>
    <t>MULT 1 RATE 1_5</t>
  </si>
  <si>
    <t>A2C645335CB7542023469464114922695</t>
  </si>
  <si>
    <t>$96.53</t>
  </si>
  <si>
    <t>8A10AA7B540BB1</t>
  </si>
  <si>
    <t>8A10AA7B540BB1 - HUSSEY, THOMAS R</t>
  </si>
  <si>
    <t>8A10AA7B540BB1202316480993669673375</t>
  </si>
  <si>
    <t>$3,857.28</t>
  </si>
  <si>
    <t>T6324 - SANITATION LABORER</t>
  </si>
  <si>
    <t>420CF8457C1307</t>
  </si>
  <si>
    <t>420CF8457C1307 - RIVERA, JOSE A</t>
  </si>
  <si>
    <t>T6324</t>
  </si>
  <si>
    <t>420CF8457C130720232670920685429486</t>
  </si>
  <si>
    <t>ECAFA3BB301072</t>
  </si>
  <si>
    <t>ECAFA3BB301072 - LEYDEN, PATRICK W</t>
  </si>
  <si>
    <t>ECAFA3BB301072202324201987867528633</t>
  </si>
  <si>
    <t>$423.93</t>
  </si>
  <si>
    <t>18737E1904063E</t>
  </si>
  <si>
    <t>18737E1904063E - GARCIA, GABRIEL</t>
  </si>
  <si>
    <t>18737E1904063E20233675511282642908</t>
  </si>
  <si>
    <t>$3,437.5</t>
  </si>
  <si>
    <t>T0431 - CLERK IV</t>
  </si>
  <si>
    <t>DBD490C8C34871</t>
  </si>
  <si>
    <t>DBD490C8C34871 - TOLSTON, SHERYL R</t>
  </si>
  <si>
    <t>T0431</t>
  </si>
  <si>
    <t>DBD490C8C34871202316233836013760657</t>
  </si>
  <si>
    <t>$207.21</t>
  </si>
  <si>
    <t>A0021 - SWORN/CIVILIAN HOLIDAY PREMIUM PAY</t>
  </si>
  <si>
    <t>5C5E3D9C1A697D</t>
  </si>
  <si>
    <t>5C5E3D9C1A697D - DIXON, MARLON L</t>
  </si>
  <si>
    <t>HOLIDAY PREMIUM</t>
  </si>
  <si>
    <t>A0021</t>
  </si>
  <si>
    <t>5C5E3D9C1A697D2023377843331275810</t>
  </si>
  <si>
    <t>$275.4</t>
  </si>
  <si>
    <t>1C1E0006BB86EE</t>
  </si>
  <si>
    <t>1C1E0006BB86EE - GRECO, JOSEPH</t>
  </si>
  <si>
    <t>1C1E0006BB86EE2023798823403139831</t>
  </si>
  <si>
    <t>$56.16</t>
  </si>
  <si>
    <t>A0061 - DRIVER'S DIFFERENTIAL</t>
  </si>
  <si>
    <t>AA68DEBBA3255A</t>
  </si>
  <si>
    <t>AA68DEBBA3255A - TRIGSTED, DALE R</t>
  </si>
  <si>
    <t>DRIVER DIFF 1_0</t>
  </si>
  <si>
    <t>A0061</t>
  </si>
  <si>
    <t>AA68DEBBA3255A20237783200801051898</t>
  </si>
  <si>
    <t>$627.82</t>
  </si>
  <si>
    <t>A0032 - REIMBURSABLE OVERTIME</t>
  </si>
  <si>
    <t>DFA6E3F9AAD313</t>
  </si>
  <si>
    <t>DFA6E3F9AAD313 - DE JESUS, EMILY</t>
  </si>
  <si>
    <t>PARKS</t>
  </si>
  <si>
    <t>A0032</t>
  </si>
  <si>
    <t>DFA6E3F9AAD313202321280617845172942</t>
  </si>
  <si>
    <t>$350</t>
  </si>
  <si>
    <t>A0060 - SPECIALTY PAY</t>
  </si>
  <si>
    <t>23FE7B15993027</t>
  </si>
  <si>
    <t>23FE7B15993027 - COLLINS, BRIAN</t>
  </si>
  <si>
    <t>CPD FITNESS PAY</t>
  </si>
  <si>
    <t>A0060</t>
  </si>
  <si>
    <t>23FE7B15993027202322126761660796397</t>
  </si>
  <si>
    <t>$912.24</t>
  </si>
  <si>
    <t>T6673 - MACHINIST (AUTOMOTIVE)</t>
  </si>
  <si>
    <t>A1B8BB56CC694C</t>
  </si>
  <si>
    <t>A1B8BB56CC694C - DOMINGUEZ, ALFREDO</t>
  </si>
  <si>
    <t>T6673</t>
  </si>
  <si>
    <t>A1B8BB56CC694C202317842633888069003</t>
  </si>
  <si>
    <t>$4,372.25</t>
  </si>
  <si>
    <t>BC9DD1FA1D58E4</t>
  </si>
  <si>
    <t>BC9DD1FA1D58E4 - WILLIAMS, MARVIN J</t>
  </si>
  <si>
    <t>BC9DD1FA1D58E4202317857346642315157</t>
  </si>
  <si>
    <t>A10A5B5DAABA5D202310427598000303591</t>
  </si>
  <si>
    <t>$1,176.9</t>
  </si>
  <si>
    <t>449AB074BAAB06</t>
  </si>
  <si>
    <t>449AB074BAAB06 - COYLE, MICHAEL D</t>
  </si>
  <si>
    <t>SPECIALTY PAY</t>
  </si>
  <si>
    <t>449AB074BAAB0620237228612696808201</t>
  </si>
  <si>
    <t>$3,644.16</t>
  </si>
  <si>
    <t>T7775 - STATIONARY FIREMAN</t>
  </si>
  <si>
    <t>CD46CEF4319D8C</t>
  </si>
  <si>
    <t>CD46CEF4319D8C - NETTLES, CLARA J</t>
  </si>
  <si>
    <t>T7775</t>
  </si>
  <si>
    <t>CD46CEF4319D8C202310298478898965977</t>
  </si>
  <si>
    <t>$4,225.5</t>
  </si>
  <si>
    <t>30B3E1FD1B9F08</t>
  </si>
  <si>
    <t>30B3E1FD1B9F08 - KRISKE, SHAUN</t>
  </si>
  <si>
    <t>30B3E1FD1B9F08202322380094766006150</t>
  </si>
  <si>
    <t>057DE2B5E99E97</t>
  </si>
  <si>
    <t>057DE2B5E99E97 - JACKSON, MATTHEW C</t>
  </si>
  <si>
    <t>057DE2B5E99E97202322410197055474439</t>
  </si>
  <si>
    <t>F0B21 - TAX INCREMENT FINANCING ADMINISTRATION FUND</t>
  </si>
  <si>
    <t>7C635169C1F796</t>
  </si>
  <si>
    <t>7C635169C1F796 - ARCE, RAMONA</t>
  </si>
  <si>
    <t>F0B21</t>
  </si>
  <si>
    <t>7C635169C1F79620234865621590894540</t>
  </si>
  <si>
    <t>$5,234.75</t>
  </si>
  <si>
    <t>C852CFAE412E25</t>
  </si>
  <si>
    <t>C852CFAE412E25 - HURLEY, MICHAEL B</t>
  </si>
  <si>
    <t>C852CFAE412E25202310356928182941136</t>
  </si>
  <si>
    <t>$2,357.99</t>
  </si>
  <si>
    <t>T8745 - AMBULANCE COMMANDER</t>
  </si>
  <si>
    <t>9888536C4E1AE5</t>
  </si>
  <si>
    <t>9888536C4E1AE5 - HOWE, MELANIE L</t>
  </si>
  <si>
    <t>T8745</t>
  </si>
  <si>
    <t>9888536C4E1AE520238862756438806093</t>
  </si>
  <si>
    <t>$961.48</t>
  </si>
  <si>
    <t>37D7E0510AF2BB</t>
  </si>
  <si>
    <t>37D7E0510AF2BB - LYONS, AMY B</t>
  </si>
  <si>
    <t>37D7E0510AF2BB20237959530634794866</t>
  </si>
  <si>
    <t>04D6031C5A39A9</t>
  </si>
  <si>
    <t>04D6031C5A39A9 - PONCE, CARLOS A</t>
  </si>
  <si>
    <t>04D6031C5A39A920236662709474597399</t>
  </si>
  <si>
    <t>$2,501.17</t>
  </si>
  <si>
    <t>T8817 - CAPTAIN-EMT</t>
  </si>
  <si>
    <t>96C2C7B783B3FD</t>
  </si>
  <si>
    <t>96C2C7B783B3FD - KUBIK, JOSEPH T</t>
  </si>
  <si>
    <t>T8817</t>
  </si>
  <si>
    <t>96C2C7B783B3FD202317382576845655852</t>
  </si>
  <si>
    <t>$151.92</t>
  </si>
  <si>
    <t>3F29A4DD1D8909</t>
  </si>
  <si>
    <t>3F29A4DD1D8909 - JERANTOWSKI, BRAD J</t>
  </si>
  <si>
    <t>3F29A4DD1D890920232302781974285095</t>
  </si>
  <si>
    <t>EB736398E87682</t>
  </si>
  <si>
    <t>EB736398E87682 - PHAM, JOHN-LONG</t>
  </si>
  <si>
    <t>EB736398E8768220234699655328426414</t>
  </si>
  <si>
    <t>$6,323.5</t>
  </si>
  <si>
    <t>1DC5283AFD4FC9</t>
  </si>
  <si>
    <t>1DC5283AFD4FC9 - WIZGIRD, DOMINIC J</t>
  </si>
  <si>
    <t>1DC5283AFD4FC9202315553564874742152</t>
  </si>
  <si>
    <t>$677.6</t>
  </si>
  <si>
    <t>T0539 - LIBRARY PAGE</t>
  </si>
  <si>
    <t>6F069FF9F9854D</t>
  </si>
  <si>
    <t>6F069FF9F9854D - HANSEN, JACOB A</t>
  </si>
  <si>
    <t>T0539</t>
  </si>
  <si>
    <t>6F069FF9F9854D20231389926067560844</t>
  </si>
  <si>
    <t>$88</t>
  </si>
  <si>
    <t>T5088 - FOREMAN OF STREET LIGHT REPAIRMEN</t>
  </si>
  <si>
    <t>0C3CB959586EDC</t>
  </si>
  <si>
    <t>0C3CB959586EDC - DOYLE, SEAN M</t>
  </si>
  <si>
    <t>ACT UP SAL</t>
  </si>
  <si>
    <t>T5088</t>
  </si>
  <si>
    <t>0C3CB959586EDC202316961783589343118</t>
  </si>
  <si>
    <t>$6,263.25</t>
  </si>
  <si>
    <t>T9173 - LIEUTENANT</t>
  </si>
  <si>
    <t>B93A27CBF7C333</t>
  </si>
  <si>
    <t>B93A27CBF7C333 - SHINE, DANIEL K</t>
  </si>
  <si>
    <t>T9173</t>
  </si>
  <si>
    <t>B93A27CBF7C33320239558780488716692</t>
  </si>
  <si>
    <t>$883.13</t>
  </si>
  <si>
    <t>T7183 - MOTOR TRUCK DRIVER</t>
  </si>
  <si>
    <t>24CD89A906A57F</t>
  </si>
  <si>
    <t>24CD89A906A57F - MACIAS, LUIS</t>
  </si>
  <si>
    <t>T7183</t>
  </si>
  <si>
    <t>24CD89A906A57F202317477319601823383</t>
  </si>
  <si>
    <t>$1,934</t>
  </si>
  <si>
    <t>D73 - Chicago Animal Care and Control</t>
  </si>
  <si>
    <t>T3496 - ANIMAL CONTROL OFFICER</t>
  </si>
  <si>
    <t>4693020950B8D6</t>
  </si>
  <si>
    <t>4693020950B8D6 - RUBIO, JOSE I</t>
  </si>
  <si>
    <t>D73</t>
  </si>
  <si>
    <t>T3496</t>
  </si>
  <si>
    <t>4693020950B8D62023573278034364638</t>
  </si>
  <si>
    <t>$4,082.25</t>
  </si>
  <si>
    <t>F25F9BADA0E521</t>
  </si>
  <si>
    <t>F25F9BADA0E521 - HOPKINS, TINA</t>
  </si>
  <si>
    <t>F25F9BADA0E521202315365428560221143</t>
  </si>
  <si>
    <t>EE28C1D017440C</t>
  </si>
  <si>
    <t>EE28C1D017440C - SCHEJBAL, WILLIAM E</t>
  </si>
  <si>
    <t>EE28C1D017440C202314603127935435207</t>
  </si>
  <si>
    <t>D66B216626822D</t>
  </si>
  <si>
    <t>D66B216626822D - METTE, MICHAEL A</t>
  </si>
  <si>
    <t>D66B216626822D20231080875911478473</t>
  </si>
  <si>
    <t>08FC7D1F4F26F9</t>
  </si>
  <si>
    <t>08FC7D1F4F26F9 - VILLANUEVA, SALVADOR J</t>
  </si>
  <si>
    <t>08FC7D1F4F26F9202315747319599680149</t>
  </si>
  <si>
    <t>$159.12</t>
  </si>
  <si>
    <t>T8750 - PARAMEDIC</t>
  </si>
  <si>
    <t>4D4D7CBD606F82</t>
  </si>
  <si>
    <t>4D4D7CBD606F82 - RODRIGUEZ JR, JAIME</t>
  </si>
  <si>
    <t>T8750</t>
  </si>
  <si>
    <t>4D4D7CBD606F82202321351174527383985</t>
  </si>
  <si>
    <t>0C71850EC6A8DA</t>
  </si>
  <si>
    <t>0C71850EC6A8DA - RILEY, J'MAL</t>
  </si>
  <si>
    <t>0C71850EC6A8DA202319635578485971727</t>
  </si>
  <si>
    <t>$3,672</t>
  </si>
  <si>
    <t>T9411 - CONSTRUCTION LABORER</t>
  </si>
  <si>
    <t>F007DFBDC4A19B</t>
  </si>
  <si>
    <t>F007DFBDC4A19B - CENTENO, JESUS M</t>
  </si>
  <si>
    <t>T9411</t>
  </si>
  <si>
    <t>F007DFBDC4A19B2023788995670371331</t>
  </si>
  <si>
    <t>$2,589</t>
  </si>
  <si>
    <t>D27 - Department of Finance</t>
  </si>
  <si>
    <t>T7482 - PARKING ENFORCEMENT AIDE</t>
  </si>
  <si>
    <t>AA20D0CA2A4F44</t>
  </si>
  <si>
    <t>AA20D0CA2A4F44 - RIOS, CANDACE M</t>
  </si>
  <si>
    <t>D27</t>
  </si>
  <si>
    <t>T7482</t>
  </si>
  <si>
    <t>AA20D0CA2A4F44202315450376005302745</t>
  </si>
  <si>
    <t>$522.6</t>
  </si>
  <si>
    <t>T8602 - POLICE COMMUNICATIONS OPERATOR II</t>
  </si>
  <si>
    <t>D27BA3F19FE80F</t>
  </si>
  <si>
    <t>D27BA3F19FE80F - ROBINSON, PAPRICE A</t>
  </si>
  <si>
    <t>T8602</t>
  </si>
  <si>
    <t>D27BA3F19FE80F20231833517396847745</t>
  </si>
  <si>
    <t>$4,287.75</t>
  </si>
  <si>
    <t>T9164 - POLICE OFFICER / FLD TRNG OFFICER</t>
  </si>
  <si>
    <t>8BDABA3D44B432</t>
  </si>
  <si>
    <t>8BDABA3D44B432 - RUSSELL, FELICIA</t>
  </si>
  <si>
    <t>T9164</t>
  </si>
  <si>
    <t>8BDABA3D44B43220231436570780109056</t>
  </si>
  <si>
    <t>$4,121</t>
  </si>
  <si>
    <t>CB16417B58153C</t>
  </si>
  <si>
    <t>CB16417B58153C - HERMES, MARK J</t>
  </si>
  <si>
    <t>CB16417B58153C202312765056796780000</t>
  </si>
  <si>
    <t>$4,982.5</t>
  </si>
  <si>
    <t>T1576 - CHIEF VOUCHER EXPEDITER</t>
  </si>
  <si>
    <t>390A73E9014727</t>
  </si>
  <si>
    <t>390A73E9014727 - ALAM, SYED S</t>
  </si>
  <si>
    <t>T1576</t>
  </si>
  <si>
    <t>390A73E9014727202319750868841004729</t>
  </si>
  <si>
    <t>$324.98</t>
  </si>
  <si>
    <t>02884666160592 - BADZIOCH, KRISTEN N</t>
  </si>
  <si>
    <t>$3,347.5</t>
  </si>
  <si>
    <t>T1126 - SENIOR PERFORMANCE ANALYST</t>
  </si>
  <si>
    <t>57D7B053682025</t>
  </si>
  <si>
    <t>57D7B053682025 - WILSON, LACHANYA</t>
  </si>
  <si>
    <t>T1126</t>
  </si>
  <si>
    <t>57D7B053682025202323933418015166748</t>
  </si>
  <si>
    <t>7EE2E42458F6AF</t>
  </si>
  <si>
    <t>7EE2E42458F6AF - VAZQUEZ, DAVE</t>
  </si>
  <si>
    <t>7EE2E42458F6AF2023388295394157998</t>
  </si>
  <si>
    <t>$1,762.56</t>
  </si>
  <si>
    <t>T9410 - LABORER - APPRENTICE</t>
  </si>
  <si>
    <t>75916C55A99653</t>
  </si>
  <si>
    <t>75916C55A99653 - SANTIAGO, DANGELO L</t>
  </si>
  <si>
    <t>T9410</t>
  </si>
  <si>
    <t>75916C55A9965320233748884639783407</t>
  </si>
  <si>
    <t>$58.08</t>
  </si>
  <si>
    <t>F14D26AE7C5E42</t>
  </si>
  <si>
    <t>F14D26AE7C5E42 - FINN, PATRICK T</t>
  </si>
  <si>
    <t>F14D26AE7C5E4220232176239808531430</t>
  </si>
  <si>
    <t>$155.97</t>
  </si>
  <si>
    <t>A8D04F45DDDFC7</t>
  </si>
  <si>
    <t>A8D04F45DDDFC7 - GEMBALA, ROBERT M</t>
  </si>
  <si>
    <t>A8D04F45DDDFC72023322694413488957</t>
  </si>
  <si>
    <t>$-375.83</t>
  </si>
  <si>
    <t>23815B41C0825F20231686512917279803</t>
  </si>
  <si>
    <t>$4,659</t>
  </si>
  <si>
    <t>T0111 - LEAD ACCOUNTANT</t>
  </si>
  <si>
    <t>E9F7473D7C0761</t>
  </si>
  <si>
    <t>E9F7473D7C0761 - MOTA, ROSENDO</t>
  </si>
  <si>
    <t>T0111</t>
  </si>
  <si>
    <t>E9F7473D7C076120231215755432937336</t>
  </si>
  <si>
    <t>816FFCA85FAFED20231800683046880156</t>
  </si>
  <si>
    <t>D55E0AE91386C520231839225258796796</t>
  </si>
  <si>
    <t>$4,672</t>
  </si>
  <si>
    <t>DF76509694D2CF</t>
  </si>
  <si>
    <t>DF76509694D2CF - GLASS, ERIK L</t>
  </si>
  <si>
    <t>DF76509694D2CF20231475105184735698</t>
  </si>
  <si>
    <t>197E06974C23C42023118396422507956</t>
  </si>
  <si>
    <t>FDA2B40E79CE7320231314356054483414</t>
  </si>
  <si>
    <t>6F8880ACA0EE5920231447016332625491</t>
  </si>
  <si>
    <t>F76D859E13FC1F20232671774774339348</t>
  </si>
  <si>
    <t>0CE7E5BE6A6E3120232246297130864829</t>
  </si>
  <si>
    <t>C1081EDB5EEAE120232889498435339342</t>
  </si>
  <si>
    <t>8F3FF33ABC176620232523154186084324</t>
  </si>
  <si>
    <t>FABEBFAD17362B20232484662715778089</t>
  </si>
  <si>
    <t>FDA2B40E79CE7320232359435194702769</t>
  </si>
  <si>
    <t>B997D21DD188D120233931674447165693</t>
  </si>
  <si>
    <t>B7A5D651A3EE7420233114344462864207</t>
  </si>
  <si>
    <t>$485.1</t>
  </si>
  <si>
    <t>8EE1224B4A55ED</t>
  </si>
  <si>
    <t>8EE1224B4A55ED - RODRIGUEZ, JOCELYN</t>
  </si>
  <si>
    <t>8EE1224B4A55ED20233529162309193648</t>
  </si>
  <si>
    <t>$519.75</t>
  </si>
  <si>
    <t>120A7F5AF5A151</t>
  </si>
  <si>
    <t>120A7F5AF5A151 - PIERRE, LUDNA S</t>
  </si>
  <si>
    <t>120A7F5AF5A15120233139015909196889</t>
  </si>
  <si>
    <t>875D1F5749F31020233868771742115829</t>
  </si>
  <si>
    <t>E6C53B81D5835820233684289900572117</t>
  </si>
  <si>
    <t>C14B6B30C583A32023330410070713527</t>
  </si>
  <si>
    <t>D4B90C6A712E90</t>
  </si>
  <si>
    <t>D4B90C6A712E90 - CRAWFORD, MATTHEW G</t>
  </si>
  <si>
    <t>D4B90C6A712E9020233215586276262089</t>
  </si>
  <si>
    <t>FEC807F9B1CF0220233315225073621025</t>
  </si>
  <si>
    <t>CB66CA7BBB392E20233505279329901138</t>
  </si>
  <si>
    <t>0A30E99A8A025B20234448894612350397</t>
  </si>
  <si>
    <t>197E06974C23C420234721279648880731</t>
  </si>
  <si>
    <t>7505B3760D8E7420234505927812430913</t>
  </si>
  <si>
    <t>6F8880ACA0EE5920234390985445099103</t>
  </si>
  <si>
    <t>$431.2</t>
  </si>
  <si>
    <t>120A7F5AF5A15120235776926185934922</t>
  </si>
  <si>
    <t>$-1,574.39</t>
  </si>
  <si>
    <t>3B7443B1899BEA</t>
  </si>
  <si>
    <t>3B7443B1899BEA - BRUTUS, OTTO P</t>
  </si>
  <si>
    <t>3B7443B1899BEA20235476688516383027</t>
  </si>
  <si>
    <t>90D4F9839B1EE32023553435814104066</t>
  </si>
  <si>
    <t>9F6B7F152156C820235568283595309357</t>
  </si>
  <si>
    <t>32EEDD57B92F7320235491789047591625</t>
  </si>
  <si>
    <t>F7E2A58A9A8CE420235203526987755682</t>
  </si>
  <si>
    <t>6AE3E9CF0CE16820235586095910906135</t>
  </si>
  <si>
    <t>$504.35</t>
  </si>
  <si>
    <t>120A7F5AF5A15120236552877458047629</t>
  </si>
  <si>
    <t>$-316.88</t>
  </si>
  <si>
    <t>90D4F9839B1EE320236332817724411630</t>
  </si>
  <si>
    <t>$-763.4</t>
  </si>
  <si>
    <t>8D033298A9797A20236137443461385192</t>
  </si>
  <si>
    <t>E6C53B81D5835820236626469454637213</t>
  </si>
  <si>
    <t>0CFC9620D18B2620236485980750282004</t>
  </si>
  <si>
    <t>F3A7E2AE494905202362911734571565</t>
  </si>
  <si>
    <t>B070D8D0C55BEE2023643558474055264</t>
  </si>
  <si>
    <t>67EAB9287E4C41</t>
  </si>
  <si>
    <t>67EAB9287E4C41 - LOERA JR, ELISEO</t>
  </si>
  <si>
    <t>67EAB9287E4C4120237541760641604698</t>
  </si>
  <si>
    <t>B7A5D651A3EE7420237881039827507836</t>
  </si>
  <si>
    <t>$419.65</t>
  </si>
  <si>
    <t>1F544A13C7D52A20237661067611253306</t>
  </si>
  <si>
    <t>4450854AC2FA1620237789629864329008</t>
  </si>
  <si>
    <t>C0C22C2EB8E3472023730277901966944</t>
  </si>
  <si>
    <t>FB1ED4EDF19B4120237293352654323050</t>
  </si>
  <si>
    <t>$3,366.7</t>
  </si>
  <si>
    <t>722EBEFA1CD126</t>
  </si>
  <si>
    <t>722EBEFA1CD126 - FORTE, KAREN J</t>
  </si>
  <si>
    <t>VAC HR PAYOUT</t>
  </si>
  <si>
    <t>722EBEFA1CD12620237324395491988401</t>
  </si>
  <si>
    <t>C28E727C8EB8AF20238374571676287510</t>
  </si>
  <si>
    <t>$-753.7</t>
  </si>
  <si>
    <t>4850B0ADA500EA20238126579338423823</t>
  </si>
  <si>
    <t>17BE1C7934692820238747448802256383</t>
  </si>
  <si>
    <t>B656AB20A22A7720238745786931720120</t>
  </si>
  <si>
    <t>04115775EBE70E20238970050126545023</t>
  </si>
  <si>
    <t>0CEECAF6BD16BA</t>
  </si>
  <si>
    <t>0CEECAF6BD16BA - HAHN, KANDALYN</t>
  </si>
  <si>
    <t>0CEECAF6BD16BA20238660747141470165</t>
  </si>
  <si>
    <t>B070D8D0C55BEE20238443896307447714</t>
  </si>
  <si>
    <t>C0941D522C8AA220239315588773879529</t>
  </si>
  <si>
    <t>DCCA7ADE67CA5520239700054660453345</t>
  </si>
  <si>
    <t>816FFCA85FAFED20239982562915607633</t>
  </si>
  <si>
    <t>FD79F1E16BD72420239581110396658923</t>
  </si>
  <si>
    <t>$3,754.5</t>
  </si>
  <si>
    <t>T1402 - CITY PLANNER II</t>
  </si>
  <si>
    <t>C9C67FDAE15B63</t>
  </si>
  <si>
    <t>C9C67FDAE15B63 - PERRY, SUSAN E</t>
  </si>
  <si>
    <t>T1402</t>
  </si>
  <si>
    <t>C9C67FDAE15B632023973037746737322</t>
  </si>
  <si>
    <t>C14B6B30C583A320239825110021759102</t>
  </si>
  <si>
    <t>67EAB9287E4C41202310260497130471451</t>
  </si>
  <si>
    <t>$3,772.5</t>
  </si>
  <si>
    <t>C1081EDB5EEAE1202310942639466050385</t>
  </si>
  <si>
    <t>T1191 - CONTRACTS ADMINISTRATOR</t>
  </si>
  <si>
    <t>3C0DC90E31D4AA</t>
  </si>
  <si>
    <t>3C0DC90E31D4AA - KIRBY, JOANN B</t>
  </si>
  <si>
    <t>T1191</t>
  </si>
  <si>
    <t>3C0DC90E31D4AA202310744063544146607</t>
  </si>
  <si>
    <t>$2,697.5</t>
  </si>
  <si>
    <t>D6F0FB9FC44E17202310959062930849522</t>
  </si>
  <si>
    <t>$2,960.5</t>
  </si>
  <si>
    <t>BB2CA722F12B5C20231078742551647871</t>
  </si>
  <si>
    <t>D0F81716CD2DC3202310617338350600676</t>
  </si>
  <si>
    <t>8DF8DD37E2FDC3202310862791445583963</t>
  </si>
  <si>
    <t>$-602.8</t>
  </si>
  <si>
    <t>T9660 - FIRST DEPUTY COMMISSIONER</t>
  </si>
  <si>
    <t>4A2260AE5B2EDF</t>
  </si>
  <si>
    <t>4A2260AE5B2EDF - WESLEY, MELVIN D</t>
  </si>
  <si>
    <t>VOL FURLOUGH</t>
  </si>
  <si>
    <t>T9660</t>
  </si>
  <si>
    <t>4A2260AE5B2EDF202310595228679289919</t>
  </si>
  <si>
    <t>$6,634.5</t>
  </si>
  <si>
    <t>B7A5D651A3EE7420231173709095470527</t>
  </si>
  <si>
    <t>C1081EDB5EEAE1202311833155293897223</t>
  </si>
  <si>
    <t>9F6B7F152156C8202311816269524719075</t>
  </si>
  <si>
    <t>875D1F5749F310202311946896671630961</t>
  </si>
  <si>
    <t>9A02E547CCA939202311937594521774710</t>
  </si>
  <si>
    <t>73BA524443E82D202311301155632811341</t>
  </si>
  <si>
    <t>E8E9DEF8EB7E0B202311495731531235176</t>
  </si>
  <si>
    <t>$4,760.5</t>
  </si>
  <si>
    <t>FB1ED4EDF19B41202311241067416859741</t>
  </si>
  <si>
    <t>$1,834.14</t>
  </si>
  <si>
    <t>3989778ED17204</t>
  </si>
  <si>
    <t>3989778ED17204 - WILLIAMS, VIVIAN</t>
  </si>
  <si>
    <t>3989778ED1720420237591567849686522</t>
  </si>
  <si>
    <t>$7,082</t>
  </si>
  <si>
    <t>4A2260AE5B2EDF202311959035479177459</t>
  </si>
  <si>
    <t>$13,669.62</t>
  </si>
  <si>
    <t>T0634 - DATA SERVICES ADMINISTRATOR</t>
  </si>
  <si>
    <t>32F3F7BE15FDB0</t>
  </si>
  <si>
    <t>32F3F7BE15FDB0 - IMPARL, PAUL A</t>
  </si>
  <si>
    <t>T0634</t>
  </si>
  <si>
    <t>32F3F7BE15FDB0202311665152334717914</t>
  </si>
  <si>
    <t>10A1E0D57AA009202312171980699415727</t>
  </si>
  <si>
    <t>$-434.37</t>
  </si>
  <si>
    <t>8D033298A9797A202312653634436434452</t>
  </si>
  <si>
    <t>9F6B7F152156C8202312994458456719915</t>
  </si>
  <si>
    <t>AF76F191B02EDD202312127612211811765</t>
  </si>
  <si>
    <t>$-171.89</t>
  </si>
  <si>
    <t>B997D21DD188D120231524312223266813</t>
  </si>
  <si>
    <t>C28E727C8EB8AF20231926562952372007</t>
  </si>
  <si>
    <t>$-205.84</t>
  </si>
  <si>
    <t>0A30E99A8A025B20231790165011410812</t>
  </si>
  <si>
    <t>65FD61E57B6B1E20231289645035516891</t>
  </si>
  <si>
    <t>4450854AC2FA1620231992826729453510</t>
  </si>
  <si>
    <t>B15F2BF1B8191D20231774505150100464</t>
  </si>
  <si>
    <t>0CFC9620D18B2620231632825862015112</t>
  </si>
  <si>
    <t>0B53A61E880DE920231489495994554664</t>
  </si>
  <si>
    <t>97CD6D4F3F26BF20231207398891164385</t>
  </si>
  <si>
    <t>A38F3ED12B746E20231739107623833001</t>
  </si>
  <si>
    <t>3EF80AD515343020231458337973492929</t>
  </si>
  <si>
    <t>4450854AC2FA1620232866108452563909</t>
  </si>
  <si>
    <t>3C0DC90E31D4AA20232131006347705431</t>
  </si>
  <si>
    <t>$400.35</t>
  </si>
  <si>
    <t>T7160 - FLEET SERVICES ASST</t>
  </si>
  <si>
    <t>774A0FFEA0023C</t>
  </si>
  <si>
    <t>774A0FFEA0023C - WOODS, DYLAN W</t>
  </si>
  <si>
    <t>T7160</t>
  </si>
  <si>
    <t>774A0FFEA0023C202310349231641478324</t>
  </si>
  <si>
    <t>DDCDFA43F562C420232643920356736095</t>
  </si>
  <si>
    <t>$3,875</t>
  </si>
  <si>
    <t>B79B24BB0FAF35</t>
  </si>
  <si>
    <t>B79B24BB0FAF35 - MARTINEZ, CARMEN M</t>
  </si>
  <si>
    <t>B79B24BB0FAF3520232168001043083856</t>
  </si>
  <si>
    <t>F76D859E13FC1F20233927501129304029</t>
  </si>
  <si>
    <t>0CE7E5BE6A6E3120233558303232172789</t>
  </si>
  <si>
    <t>F9DD478927ED3820233214872041266</t>
  </si>
  <si>
    <t>E9F7473D7C07612023365588452121281</t>
  </si>
  <si>
    <t>65FD61E57B6B1E20233223563479435508</t>
  </si>
  <si>
    <t>64B7C34724F7F020233912837416723597</t>
  </si>
  <si>
    <t>BB2CA722F12B5C20233561746541464090</t>
  </si>
  <si>
    <t>97CD6D4F3F26BF20233644564412838885</t>
  </si>
  <si>
    <t>2849201E12AFD6</t>
  </si>
  <si>
    <t>2849201E12AFD6 - HARMET, KARA M</t>
  </si>
  <si>
    <t>2849201E12AFD620233219326724495857</t>
  </si>
  <si>
    <t>8DF8DD37E2FDC320233690837777859422</t>
  </si>
  <si>
    <t>35FA5F14BDD99A2023424955515320527</t>
  </si>
  <si>
    <t>2CA9E6F50425D820234889639598968451</t>
  </si>
  <si>
    <t>17BE1C7934692820234764340735036429</t>
  </si>
  <si>
    <t>8F3FF33ABC176620234370764270682662</t>
  </si>
  <si>
    <t>4850B0ADA500EA20234445955909077681</t>
  </si>
  <si>
    <t>23815B41C0825F20234891080416183000</t>
  </si>
  <si>
    <t>9B82270E9FBFC920234433326418297620</t>
  </si>
  <si>
    <t>$-470.25</t>
  </si>
  <si>
    <t>90D4F9839B1EE320235316194421748542</t>
  </si>
  <si>
    <t>$-508.78</t>
  </si>
  <si>
    <t>8D033298A9797A20235882737267480520</t>
  </si>
  <si>
    <t>T1315 - HUMAN RESOURCES BUSINESS PARTNER-EXCLD</t>
  </si>
  <si>
    <t>5960A9EDFDE9F1</t>
  </si>
  <si>
    <t>5960A9EDFDE9F1 - RIVERA, YASMIN M</t>
  </si>
  <si>
    <t>T1315</t>
  </si>
  <si>
    <t>5960A9EDFDE9F120235571070058280296</t>
  </si>
  <si>
    <t>$2,384.55</t>
  </si>
  <si>
    <t>241AE96B5E1AA220258992729335343044</t>
  </si>
  <si>
    <t>0CFC9620D18B2620235837937069039586</t>
  </si>
  <si>
    <t>0B53A61E880DE920235994433937916262</t>
  </si>
  <si>
    <t>DCCA7ADE67CA5520236879458688493940</t>
  </si>
  <si>
    <t>F7E2A58A9A8CE420236761614816863013</t>
  </si>
  <si>
    <t>0CEECAF6BD16BA20236392780518482239</t>
  </si>
  <si>
    <t>50F8EE0864C0D02023642873782411100</t>
  </si>
  <si>
    <t>B03B858E2749B920236938511089831051</t>
  </si>
  <si>
    <t>35FA5F14BDD99A20237813199455649421</t>
  </si>
  <si>
    <t>0A30E99A8A025B20237440179759452995</t>
  </si>
  <si>
    <t>C57C9A2F1A1F8D20237546143194496293</t>
  </si>
  <si>
    <t>4C90C223CE8BDC20237309326090687729</t>
  </si>
  <si>
    <t>FEC807F9B1CF0220237175786242913466</t>
  </si>
  <si>
    <t>C0941D522C8AA220238763588130021216</t>
  </si>
  <si>
    <t>9CB9A9EE63E5EB20238433082589322830</t>
  </si>
  <si>
    <t>$731.5</t>
  </si>
  <si>
    <t>9267D826BCE75920238244459594262630</t>
  </si>
  <si>
    <t>26CA8CCA8B78E420238134005727223989</t>
  </si>
  <si>
    <t>DF76509694D2CF20238142765029356154</t>
  </si>
  <si>
    <t>F76D859E13FC1F2023956119075200531</t>
  </si>
  <si>
    <t>10A1E0D57AA00920239155467333091305</t>
  </si>
  <si>
    <t>D85FA8CFF69D282023986086156154388</t>
  </si>
  <si>
    <t>D55E0AE91386C520239846267547432053</t>
  </si>
  <si>
    <t>17BE1C7934692820239929424720276900</t>
  </si>
  <si>
    <t>DF76509694D2CF20239381076298676786</t>
  </si>
  <si>
    <t>82B04939FB8D7C20239867582460091636</t>
  </si>
  <si>
    <t>10A1E0D57AA009202310488810432414579</t>
  </si>
  <si>
    <t>D4A27913C9EEDD202310515293332929579</t>
  </si>
  <si>
    <t>$831.6</t>
  </si>
  <si>
    <t>A8DBAEAB083E9C202310426267398732260</t>
  </si>
  <si>
    <t>407CE0488AC004</t>
  </si>
  <si>
    <t>407CE0488AC004 - MOODY, PAUL A</t>
  </si>
  <si>
    <t>407CE0488AC004202310696995421150873</t>
  </si>
  <si>
    <t>9A02E547CCA93920231049541411202765</t>
  </si>
  <si>
    <t>3EF80AD5153430202310768159619710637</t>
  </si>
  <si>
    <t>C0941D522C8AA2202311374788574306986</t>
  </si>
  <si>
    <t>B997D21DD188D1202311490948330505957</t>
  </si>
  <si>
    <t>$3,552</t>
  </si>
  <si>
    <t>5E873B8A25701F - JONES, VONETTA M</t>
  </si>
  <si>
    <t>5E873B8A25701F20231184260374585697</t>
  </si>
  <si>
    <t>0334E70151367D202311291274652725823</t>
  </si>
  <si>
    <t>A8DBAEAB083E9C202311639609210515667</t>
  </si>
  <si>
    <t>$5,401.5</t>
  </si>
  <si>
    <t>B8E59990646B62202311579036299837796</t>
  </si>
  <si>
    <t>816FFCA85FAFED202311325989596575452</t>
  </si>
  <si>
    <t>AF76F191B02EDD202311967471569388951</t>
  </si>
  <si>
    <t>B79B24BB0FAF35202311635303660333586</t>
  </si>
  <si>
    <t>C57C9A2F1A1F8D202311240879732132174</t>
  </si>
  <si>
    <t>CB69C9459F68D3202311689389163915091</t>
  </si>
  <si>
    <t>67EAB9287E4C41202312714954925597811</t>
  </si>
  <si>
    <t>0CE7E5BE6A6E31202312504275846324401</t>
  </si>
  <si>
    <t>1AFFC8FE80ACB6202312286101340965049</t>
  </si>
  <si>
    <t>$2,140.36</t>
  </si>
  <si>
    <t>52B58AD20DA2BB</t>
  </si>
  <si>
    <t>52B58AD20DA2BB - TOMBARI, EDWARD A</t>
  </si>
  <si>
    <t>52B58AD20DA2BB202312837598712130836</t>
  </si>
  <si>
    <t xml:space="preserve"> TACCAD, CLARIBEL</t>
  </si>
  <si>
    <t xml:space="preserve"> GRAYER, SHELIA D</t>
  </si>
  <si>
    <t xml:space="preserve"> CORPUZ, BENJAMIN A</t>
  </si>
  <si>
    <t xml:space="preserve"> THRUN, EMILY</t>
  </si>
  <si>
    <t xml:space="preserve"> BARTON, EMILY M</t>
  </si>
  <si>
    <t xml:space="preserve"> DAYE, RONALD J</t>
  </si>
  <si>
    <t xml:space="preserve"> ALBERT, DAMIAN K</t>
  </si>
  <si>
    <t xml:space="preserve"> BUDNIK, ALESSANDRA C</t>
  </si>
  <si>
    <t xml:space="preserve"> NOLTER, ROBERT J</t>
  </si>
  <si>
    <t xml:space="preserve"> BERAN, PETER D</t>
  </si>
  <si>
    <t xml:space="preserve"> WEBER, MICHAEL P</t>
  </si>
  <si>
    <t xml:space="preserve"> NELSON, GABRIELLA M</t>
  </si>
  <si>
    <t xml:space="preserve"> HERTZ, DANIEL K</t>
  </si>
  <si>
    <t xml:space="preserve"> THOMPSON, TAYLOR J</t>
  </si>
  <si>
    <t xml:space="preserve"> ROBACK, BRADLEY G</t>
  </si>
  <si>
    <t xml:space="preserve"> OCIEPKA, LESZEK</t>
  </si>
  <si>
    <t xml:space="preserve"> ROWE, BRIAN M</t>
  </si>
  <si>
    <t xml:space="preserve"> MONTE,  GRANT L</t>
  </si>
  <si>
    <t xml:space="preserve"> LAW, JOHN A</t>
  </si>
  <si>
    <t xml:space="preserve"> CANNON, ANGELA</t>
  </si>
  <si>
    <t xml:space="preserve"> BATSON, ELAINE S</t>
  </si>
  <si>
    <t xml:space="preserve"> KLICH</t>
  </si>
  <si>
    <t xml:space="preserve"> TAYLOR, TYLER H</t>
  </si>
  <si>
    <t xml:space="preserve"> SCHMITZ, MATTHEW M</t>
  </si>
  <si>
    <t xml:space="preserve"> HILL, SAMANTHA</t>
  </si>
  <si>
    <t xml:space="preserve"> HAMILTON, NATASHA A</t>
  </si>
  <si>
    <t xml:space="preserve"> MCKEE, ZACHARIA G</t>
  </si>
  <si>
    <t xml:space="preserve"> MORENO, BRIAN K</t>
  </si>
  <si>
    <t xml:space="preserve"> LIANG, SUNNY S</t>
  </si>
  <si>
    <t xml:space="preserve"> MORGAN, LASHONDA L</t>
  </si>
  <si>
    <t xml:space="preserve"> HENRY, AMY L</t>
  </si>
  <si>
    <t xml:space="preserve"> HOLLAND, WILLIAM R</t>
  </si>
  <si>
    <t xml:space="preserve"> MUHAMMAD, FARIDUDDIN M</t>
  </si>
  <si>
    <t xml:space="preserve"> JOHNSON, AARON M</t>
  </si>
  <si>
    <t xml:space="preserve"> DURHAM, DESTINY L</t>
  </si>
  <si>
    <t xml:space="preserve"> RICE, CARL M</t>
  </si>
  <si>
    <t xml:space="preserve"> ROBLES, ANNA M</t>
  </si>
  <si>
    <t xml:space="preserve"> GUSTAFSON, MEG E</t>
  </si>
  <si>
    <t xml:space="preserve"> MURPHEY, THOMAS P</t>
  </si>
  <si>
    <t xml:space="preserve"> MUNGIN, WHITNI E</t>
  </si>
  <si>
    <t xml:space="preserve"> JIRASEK, GABRIELA C</t>
  </si>
  <si>
    <t xml:space="preserve"> RAMIREZ, CARLOS H</t>
  </si>
  <si>
    <t xml:space="preserve"> RICHKO JR, ANTHONY E</t>
  </si>
  <si>
    <t xml:space="preserve"> ALNASER, ANNA Y</t>
  </si>
  <si>
    <t xml:space="preserve"> PATE, ONEIDA R</t>
  </si>
  <si>
    <t xml:space="preserve"> ROUBIK, CYNTHIA J</t>
  </si>
  <si>
    <t xml:space="preserve"> COLLINS, KATRINA M</t>
  </si>
  <si>
    <t xml:space="preserve"> RESA, VICTOR T</t>
  </si>
  <si>
    <t xml:space="preserve"> KHALIQUE, FARHAN A</t>
  </si>
  <si>
    <t xml:space="preserve"> KLAIBER, DANIEL R</t>
  </si>
  <si>
    <t xml:space="preserve"> WINDMON, HEATHER E</t>
  </si>
  <si>
    <t xml:space="preserve"> RADZEVICH, NANCY M</t>
  </si>
  <si>
    <t xml:space="preserve"> RODRIGUEZ, VELIA C</t>
  </si>
  <si>
    <t xml:space="preserve"> GAETA, JOSE O</t>
  </si>
  <si>
    <t xml:space="preserve"> ZHENG, CHEN Q</t>
  </si>
  <si>
    <t xml:space="preserve"> MARTINEZ, SAMIE</t>
  </si>
  <si>
    <t xml:space="preserve"> MURDOCH,  JASON J</t>
  </si>
  <si>
    <t xml:space="preserve"> ORTEGA, VICTORIA L</t>
  </si>
  <si>
    <t xml:space="preserve"> BARTLETT, KYLE W</t>
  </si>
  <si>
    <t xml:space="preserve"> HILL, JANICE D</t>
  </si>
  <si>
    <t xml:space="preserve"> VELAZQUEZ, JEANETTE</t>
  </si>
  <si>
    <t xml:space="preserve"> CURRY, NORA</t>
  </si>
  <si>
    <t xml:space="preserve"> RAMOS, JOYCE I</t>
  </si>
  <si>
    <t xml:space="preserve"> GARCIA, GERARDO</t>
  </si>
  <si>
    <t xml:space="preserve"> PENA, ANTONIO G</t>
  </si>
  <si>
    <t xml:space="preserve"> MICHAELS, JAMES</t>
  </si>
  <si>
    <t xml:space="preserve"> WHEATEN, KEISHA J</t>
  </si>
  <si>
    <t xml:space="preserve"> O'BRIEN, JACK F</t>
  </si>
  <si>
    <t xml:space="preserve"> PLOMIN, KALPANA S</t>
  </si>
  <si>
    <t xml:space="preserve"> O'CONNOR, STEPHANIE K</t>
  </si>
  <si>
    <t xml:space="preserve"> RHYMES, MICHELE A</t>
  </si>
  <si>
    <t xml:space="preserve"> MASON JOHNSON, CHRISTINA</t>
  </si>
  <si>
    <t xml:space="preserve"> O'CONNOR, STEPH K</t>
  </si>
  <si>
    <t xml:space="preserve"> SZAFRANIEC, NOAH J</t>
  </si>
  <si>
    <t xml:space="preserve"> MARMO, MICHAEL A</t>
  </si>
  <si>
    <t xml:space="preserve"> DURHAM,  DESTINY L</t>
  </si>
  <si>
    <t xml:space="preserve"> ELIAS, LYNETTE M</t>
  </si>
  <si>
    <t xml:space="preserve"> HARRISON, KIMBERLEY A</t>
  </si>
  <si>
    <t xml:space="preserve"> DICKHUT, KATHLEEN E</t>
  </si>
  <si>
    <t xml:space="preserve"> O'DONNELL, BRIAN</t>
  </si>
  <si>
    <t xml:space="preserve"> SMAILBEGOVIC, OMAR</t>
  </si>
  <si>
    <t xml:space="preserve"> GARZA, CYNTHIA A</t>
  </si>
  <si>
    <t xml:space="preserve"> ALSAMMARAE, RIMA A</t>
  </si>
  <si>
    <t xml:space="preserve"> SCHNEIDER, JOHN A</t>
  </si>
  <si>
    <t xml:space="preserve"> ROSCHEN, MARK E</t>
  </si>
  <si>
    <t xml:space="preserve"> ASTUDILLO, ROBERTO</t>
  </si>
  <si>
    <t xml:space="preserve"> CHASE, JESSIE L</t>
  </si>
  <si>
    <t xml:space="preserve"> MERCADO, MIKAELA N</t>
  </si>
  <si>
    <t xml:space="preserve"> LUCIO, CRISTINA</t>
  </si>
  <si>
    <t xml:space="preserve"> MICH, LUKE A</t>
  </si>
  <si>
    <t xml:space="preserve"> CLAYTON, LOUIS R</t>
  </si>
  <si>
    <t xml:space="preserve"> JONES, VONETTA W</t>
  </si>
  <si>
    <t xml:space="preserve"> CASSIDY, MARGARET O</t>
  </si>
  <si>
    <t xml:space="preserve"> DUPLAGA, ALICIA</t>
  </si>
  <si>
    <t xml:space="preserve"> NAPOLES, LISA G</t>
  </si>
  <si>
    <t xml:space="preserve"> CUVALO, DIJANA</t>
  </si>
  <si>
    <t xml:space="preserve"> NOVARA, MARISA C</t>
  </si>
  <si>
    <t xml:space="preserve"> DUNKLEY, WILLIAM J</t>
  </si>
  <si>
    <t xml:space="preserve"> ESENBERG, BRYAN</t>
  </si>
  <si>
    <t xml:space="preserve"> MALAKPOUR, SOUSAN</t>
  </si>
  <si>
    <t xml:space="preserve"> LYON, MAXIMILIAN D</t>
  </si>
  <si>
    <t xml:space="preserve"> ESPINOZA, FERNANDO</t>
  </si>
  <si>
    <t xml:space="preserve"> COX, MAURICE D</t>
  </si>
  <si>
    <t xml:space="preserve"> MAYFIELD, ALEXIS S</t>
  </si>
  <si>
    <t xml:space="preserve"> SCHREMP, JAMES R</t>
  </si>
  <si>
    <t xml:space="preserve"> SPERRY, HEIDI L</t>
  </si>
  <si>
    <t xml:space="preserve"> STRAZZABOSCO, PETER L</t>
  </si>
  <si>
    <t xml:space="preserve"> DAFIAGHOR, ANSELL E</t>
  </si>
  <si>
    <t xml:space="preserve"> SKELLY, THOMAS W</t>
  </si>
  <si>
    <t xml:space="preserve"> SMITH, REGGIE</t>
  </si>
  <si>
    <t xml:space="preserve"> ROONEY, SCOTT</t>
  </si>
  <si>
    <t xml:space="preserve"> SALVAGE III, FRANK A</t>
  </si>
  <si>
    <t xml:space="preserve"> GOCHEE, RAYMOND W</t>
  </si>
  <si>
    <t xml:space="preserve"> BELLEL, KAFI N</t>
  </si>
  <si>
    <t xml:space="preserve"> JOHNSON, DARIUS V</t>
  </si>
  <si>
    <t xml:space="preserve"> CLARK, PHYLLIS K</t>
  </si>
  <si>
    <t xml:space="preserve"> VASQUEZ, JESUS</t>
  </si>
  <si>
    <t xml:space="preserve"> LOPEZ, TERESA</t>
  </si>
  <si>
    <t xml:space="preserve"> LANHAM CASARES, MARY M</t>
  </si>
  <si>
    <t xml:space="preserve"> HOJEK JR, COREY M</t>
  </si>
  <si>
    <t xml:space="preserve"> HUERTA, JIM</t>
  </si>
  <si>
    <t xml:space="preserve"> HINDMAN, DORA M</t>
  </si>
  <si>
    <t xml:space="preserve"> BATEY, BRIAN L</t>
  </si>
  <si>
    <t xml:space="preserve"> LEWIS, REGINALD A</t>
  </si>
  <si>
    <t xml:space="preserve"> SHAMAH, MOHAMMAD K</t>
  </si>
  <si>
    <t xml:space="preserve"> PERKINS, JAZZMINE E</t>
  </si>
  <si>
    <t xml:space="preserve"> NORDSTROM, MICHAEL A</t>
  </si>
  <si>
    <t xml:space="preserve"> GUNTER, ZARAK D</t>
  </si>
  <si>
    <t xml:space="preserve"> THOMAS, LUTHER</t>
  </si>
  <si>
    <t xml:space="preserve"> HUSSEY, THOMAS R</t>
  </si>
  <si>
    <t xml:space="preserve"> RIVERA, JOSE A</t>
  </si>
  <si>
    <t xml:space="preserve"> LEYDEN, PATRICK W</t>
  </si>
  <si>
    <t xml:space="preserve"> GARCIA, GABRIEL</t>
  </si>
  <si>
    <t xml:space="preserve"> TOLSTON, SHERYL R</t>
  </si>
  <si>
    <t xml:space="preserve"> DIXON, MARLON L</t>
  </si>
  <si>
    <t xml:space="preserve"> GRECO, JOSEPH</t>
  </si>
  <si>
    <t xml:space="preserve"> TRIGSTED, DALE R</t>
  </si>
  <si>
    <t xml:space="preserve"> DE JESUS, EMILY</t>
  </si>
  <si>
    <t xml:space="preserve"> COLLINS, BRIAN</t>
  </si>
  <si>
    <t xml:space="preserve"> DOMINGUEZ, ALFREDO</t>
  </si>
  <si>
    <t xml:space="preserve"> WILLIAMS, MARVIN J</t>
  </si>
  <si>
    <t xml:space="preserve"> COYLE, MICHAEL D</t>
  </si>
  <si>
    <t xml:space="preserve"> NETTLES, CLARA J</t>
  </si>
  <si>
    <t xml:space="preserve"> KRISKE, SHAUN</t>
  </si>
  <si>
    <t xml:space="preserve"> JACKSON, MATTHEW C</t>
  </si>
  <si>
    <t xml:space="preserve"> ARCE, RAMONA</t>
  </si>
  <si>
    <t xml:space="preserve"> HURLEY, MICHAEL B</t>
  </si>
  <si>
    <t xml:space="preserve"> HOWE, MELANIE L</t>
  </si>
  <si>
    <t xml:space="preserve"> LYONS, AMY B</t>
  </si>
  <si>
    <t xml:space="preserve"> PONCE, CARLOS A</t>
  </si>
  <si>
    <t xml:space="preserve"> KUBIK, JOSEPH T</t>
  </si>
  <si>
    <t xml:space="preserve"> JERANTOWSKI, BRAD J</t>
  </si>
  <si>
    <t xml:space="preserve"> PHAM, JOHN</t>
  </si>
  <si>
    <t xml:space="preserve"> WIZGIRD, DOMINIC J</t>
  </si>
  <si>
    <t xml:space="preserve"> HANSEN, JACOB A</t>
  </si>
  <si>
    <t xml:space="preserve"> DOYLE, SEAN M</t>
  </si>
  <si>
    <t xml:space="preserve"> SHINE, DANIEL K</t>
  </si>
  <si>
    <t xml:space="preserve"> MACIAS, LUIS</t>
  </si>
  <si>
    <t xml:space="preserve"> RUBIO, JOSE I</t>
  </si>
  <si>
    <t xml:space="preserve"> HOPKINS, TINA</t>
  </si>
  <si>
    <t xml:space="preserve"> SCHEJBAL, WILLIAM E</t>
  </si>
  <si>
    <t xml:space="preserve"> METTE, MICHAEL A</t>
  </si>
  <si>
    <t xml:space="preserve"> VILLANUEVA, SALVADOR J</t>
  </si>
  <si>
    <t xml:space="preserve"> RODRIGUEZ JR, JAIME</t>
  </si>
  <si>
    <t xml:space="preserve"> RILEY, J'MAL</t>
  </si>
  <si>
    <t xml:space="preserve"> CENTENO, JESUS M</t>
  </si>
  <si>
    <t xml:space="preserve"> RIOS, CANDACE M</t>
  </si>
  <si>
    <t xml:space="preserve"> ROBINSON, PAPRICE A</t>
  </si>
  <si>
    <t xml:space="preserve"> RUSSELL, FELICIA</t>
  </si>
  <si>
    <t xml:space="preserve"> HERMES, MARK J</t>
  </si>
  <si>
    <t xml:space="preserve"> ALAM, SYED S</t>
  </si>
  <si>
    <t xml:space="preserve"> BADZIOCH, KRISTEN N</t>
  </si>
  <si>
    <t xml:space="preserve"> WILSON, LACHANYA</t>
  </si>
  <si>
    <t xml:space="preserve"> VAZQUEZ, DAVE</t>
  </si>
  <si>
    <t xml:space="preserve"> SANTIAGO, DANGELO L</t>
  </si>
  <si>
    <t xml:space="preserve"> FINN, PATRICK T</t>
  </si>
  <si>
    <t xml:space="preserve"> GEMBALA, ROBERT M</t>
  </si>
  <si>
    <t xml:space="preserve"> MOTA, ROSENDO</t>
  </si>
  <si>
    <t xml:space="preserve"> GLASS, ERIK L</t>
  </si>
  <si>
    <t xml:space="preserve"> RODRIGUEZ, JOCELYN</t>
  </si>
  <si>
    <t xml:space="preserve"> PIERRE, LUDNA S</t>
  </si>
  <si>
    <t xml:space="preserve"> CRAWFORD, MATTHEW G</t>
  </si>
  <si>
    <t xml:space="preserve"> BRUTUS, OTTO P</t>
  </si>
  <si>
    <t xml:space="preserve"> LOERA JR, ELISEO</t>
  </si>
  <si>
    <t xml:space="preserve"> FORTE, KAREN J</t>
  </si>
  <si>
    <t xml:space="preserve"> HAHN, KANDALYN</t>
  </si>
  <si>
    <t xml:space="preserve"> PERRY, SUSAN E</t>
  </si>
  <si>
    <t xml:space="preserve"> KIRBY, JOANN B</t>
  </si>
  <si>
    <t xml:space="preserve"> WESLEY, MELVIN D</t>
  </si>
  <si>
    <t xml:space="preserve"> WILLIAMS, VIVIAN</t>
  </si>
  <si>
    <t xml:space="preserve"> IMPARL, PAUL A</t>
  </si>
  <si>
    <t xml:space="preserve"> WOODS, DYLAN W</t>
  </si>
  <si>
    <t xml:space="preserve"> MARTINEZ, CARMEN M</t>
  </si>
  <si>
    <t xml:space="preserve"> HARMET, KARA M</t>
  </si>
  <si>
    <t xml:space="preserve"> RIVERA, YASMIN M</t>
  </si>
  <si>
    <t xml:space="preserve"> MOODY, PAUL A</t>
  </si>
  <si>
    <t xml:space="preserve"> JONES, VONETTA M</t>
  </si>
  <si>
    <t xml:space="preserve"> TOMBARI, EDWARD A</t>
  </si>
  <si>
    <t>EMPLOYEE NAME</t>
  </si>
  <si>
    <t>Department</t>
  </si>
  <si>
    <t>Total Payroll</t>
  </si>
  <si>
    <t>Row Labels</t>
  </si>
  <si>
    <t>Grand Total</t>
  </si>
  <si>
    <t>Sum of AMOUNT</t>
  </si>
  <si>
    <t xml:space="preserve"> </t>
  </si>
  <si>
    <t>Payroll By Job Title</t>
  </si>
  <si>
    <t>Payroll By Payperiod</t>
  </si>
  <si>
    <t>Average Payroll</t>
  </si>
  <si>
    <t>Number of records</t>
  </si>
  <si>
    <t>US EMPLOYEE PAYROLL ANALYSIS DASHHBOARD</t>
  </si>
  <si>
    <t>Employee Name (vlookup)</t>
  </si>
  <si>
    <t>Payroll Amount (Index/match)</t>
  </si>
  <si>
    <t>Employee Name (Xlookup)</t>
  </si>
  <si>
    <t>Employee ID</t>
  </si>
  <si>
    <t>Employee ID (Hlookup)</t>
  </si>
  <si>
    <t>Employee Data Set ID</t>
  </si>
  <si>
    <t>Employee Name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</si>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</sst>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.00"/>
    <numFmt numFmtId="166" formatCode="_-[$$-409]* #,##0.00_ ;_-[$$-409]* \-#,##0.00\ ;_-[$$-409]* &quot;-&quot;??_ ;_-@_ 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theme="1"/>
      <name val="Book Antiqua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9">
    <xf numFmtId="0" fontId="0" fillId="0" borderId="0" xfId="0" applyFont="1" applyAlignment="1"/>
    <xf numFmtId="0" fontId="2" fillId="0" borderId="0" xfId="0" applyFont="1"/>
    <xf numFmtId="11" fontId="3" fillId="0" borderId="0" xfId="0" applyNumberFormat="1" applyFont="1"/>
    <xf numFmtId="1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0" xfId="0" pivotButton="1" applyFont="1" applyAlignment="1"/>
    <xf numFmtId="0" fontId="0" fillId="0" borderId="0" xfId="0" applyNumberFormat="1" applyFont="1" applyAlignment="1"/>
    <xf numFmtId="0" fontId="1" fillId="0" borderId="0" xfId="0" applyFont="1" applyAlignment="1"/>
    <xf numFmtId="0" fontId="0" fillId="0" borderId="1" xfId="0" applyFont="1" applyBorder="1" applyAlignment="1">
      <alignment horizontal="left"/>
    </xf>
    <xf numFmtId="0" fontId="0" fillId="0" borderId="1" xfId="0" applyNumberFormat="1" applyFont="1" applyBorder="1" applyAlignment="1"/>
    <xf numFmtId="1" fontId="0" fillId="0" borderId="1" xfId="0" applyNumberFormat="1" applyFont="1" applyBorder="1" applyAlignment="1">
      <alignment horizontal="left"/>
    </xf>
    <xf numFmtId="0" fontId="0" fillId="0" borderId="3" xfId="0" pivotButton="1" applyFont="1" applyBorder="1" applyAlignment="1"/>
    <xf numFmtId="0" fontId="0" fillId="0" borderId="3" xfId="0" applyFont="1" applyBorder="1" applyAlignment="1"/>
    <xf numFmtId="0" fontId="1" fillId="0" borderId="8" xfId="0" applyFont="1" applyBorder="1" applyAlignment="1"/>
    <xf numFmtId="43" fontId="0" fillId="0" borderId="9" xfId="0" applyNumberFormat="1" applyFont="1" applyBorder="1" applyAlignment="1"/>
    <xf numFmtId="0" fontId="1" fillId="0" borderId="6" xfId="0" applyFont="1" applyBorder="1" applyAlignment="1"/>
    <xf numFmtId="0" fontId="0" fillId="0" borderId="7" xfId="0" applyFont="1" applyBorder="1" applyAlignment="1"/>
    <xf numFmtId="49" fontId="2" fillId="0" borderId="8" xfId="0" applyNumberFormat="1" applyFont="1" applyBorder="1" applyAlignment="1">
      <alignment horizontal="left"/>
    </xf>
    <xf numFmtId="164" fontId="0" fillId="0" borderId="9" xfId="0" applyNumberFormat="1" applyFont="1" applyBorder="1" applyAlignment="1"/>
    <xf numFmtId="49" fontId="2" fillId="0" borderId="6" xfId="0" applyNumberFormat="1" applyFont="1" applyBorder="1" applyAlignment="1">
      <alignment horizontal="left"/>
    </xf>
    <xf numFmtId="164" fontId="0" fillId="0" borderId="7" xfId="0" applyNumberFormat="1" applyFont="1" applyBorder="1" applyAlignment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49" fontId="2" fillId="0" borderId="3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left"/>
    </xf>
    <xf numFmtId="49" fontId="4" fillId="0" borderId="12" xfId="0" applyNumberFormat="1" applyFont="1" applyBorder="1" applyAlignment="1">
      <alignment horizontal="center"/>
    </xf>
    <xf numFmtId="0" fontId="0" fillId="0" borderId="1" xfId="0" applyFont="1" applyBorder="1" applyAlignment="1"/>
    <xf numFmtId="166" fontId="0" fillId="0" borderId="0" xfId="1" applyNumberFormat="1" applyFont="1" applyAlignment="1">
      <alignment horizontal="right"/>
    </xf>
    <xf numFmtId="49" fontId="4" fillId="0" borderId="14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left"/>
    </xf>
    <xf numFmtId="49" fontId="2" fillId="0" borderId="16" xfId="0" applyNumberFormat="1" applyFont="1" applyBorder="1" applyAlignment="1">
      <alignment horizontal="left"/>
    </xf>
    <xf numFmtId="49" fontId="2" fillId="0" borderId="16" xfId="0" applyNumberFormat="1" applyFont="1" applyBorder="1"/>
    <xf numFmtId="166" fontId="4" fillId="0" borderId="1" xfId="1" applyNumberFormat="1" applyFont="1" applyBorder="1" applyAlignment="1">
      <alignment horizontal="center"/>
    </xf>
    <xf numFmtId="166" fontId="2" fillId="0" borderId="1" xfId="1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49" fontId="3" fillId="0" borderId="8" xfId="0" applyNumberFormat="1" applyFont="1" applyBorder="1" applyAlignment="1">
      <alignment horizontal="left"/>
    </xf>
    <xf numFmtId="49" fontId="2" fillId="0" borderId="19" xfId="0" applyNumberFormat="1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18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166" fontId="8" fillId="0" borderId="10" xfId="1" applyNumberFormat="1" applyFont="1" applyBorder="1" applyAlignment="1">
      <alignment horizontal="left"/>
    </xf>
    <xf numFmtId="166" fontId="0" fillId="0" borderId="3" xfId="1" applyNumberFormat="1" applyFont="1" applyBorder="1" applyAlignment="1">
      <alignment horizontal="left"/>
    </xf>
    <xf numFmtId="166" fontId="0" fillId="0" borderId="1" xfId="1" applyNumberFormat="1" applyFont="1" applyBorder="1" applyAlignment="1">
      <alignment horizontal="left"/>
    </xf>
    <xf numFmtId="166" fontId="0" fillId="0" borderId="18" xfId="1" applyNumberFormat="1" applyFont="1" applyBorder="1" applyAlignment="1">
      <alignment horizontal="left"/>
    </xf>
    <xf numFmtId="166" fontId="0" fillId="0" borderId="0" xfId="1" applyNumberFormat="1" applyFont="1" applyAlignment="1">
      <alignment horizontal="left"/>
    </xf>
    <xf numFmtId="0" fontId="2" fillId="0" borderId="15" xfId="0" applyFont="1" applyBorder="1" applyAlignment="1">
      <alignment horizontal="left"/>
    </xf>
    <xf numFmtId="166" fontId="2" fillId="0" borderId="16" xfId="1" applyNumberFormat="1" applyFont="1" applyBorder="1" applyAlignment="1">
      <alignment horizontal="right"/>
    </xf>
    <xf numFmtId="0" fontId="4" fillId="0" borderId="10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0" fillId="0" borderId="1" xfId="0" pivotButton="1" applyFont="1" applyBorder="1" applyAlignment="1"/>
  </cellXfs>
  <cellStyles count="2">
    <cellStyle name="Comma" xfId="1" builtinId="3"/>
    <cellStyle name="Normal" xfId="0" builtinId="0"/>
  </cellStyles>
  <dxfs count="2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Project.xlsx]Department Payroll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Payroll Cost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Payroll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'Department Payroll Analysis'!$A$4:$A$19</c:f>
              <c:strCache>
                <c:ptCount val="15"/>
                <c:pt idx="0">
                  <c:v>D21 - Department of Housing</c:v>
                </c:pt>
                <c:pt idx="1">
                  <c:v>D27 - Department of Finance</c:v>
                </c:pt>
                <c:pt idx="2">
                  <c:v>D38 - Department of Fleet and Facility Management</c:v>
                </c:pt>
                <c:pt idx="3">
                  <c:v>D50 - Department of Family and Support Services</c:v>
                </c:pt>
                <c:pt idx="4">
                  <c:v>D54 - Department of Planning and Development</c:v>
                </c:pt>
                <c:pt idx="5">
                  <c:v>D57 - Chicago Police Department</c:v>
                </c:pt>
                <c:pt idx="6">
                  <c:v>D58 - Office of Emergency Management and Communications</c:v>
                </c:pt>
                <c:pt idx="7">
                  <c:v>D59 - Chicago Fire Department</c:v>
                </c:pt>
                <c:pt idx="8">
                  <c:v>D67 - Department of Buildings</c:v>
                </c:pt>
                <c:pt idx="9">
                  <c:v>D73 - Chicago Animal Care and Control</c:v>
                </c:pt>
                <c:pt idx="10">
                  <c:v>D81 - Department of Streets and Sanitation</c:v>
                </c:pt>
                <c:pt idx="11">
                  <c:v>D84 - Chicago Department of Transportation</c:v>
                </c:pt>
                <c:pt idx="12">
                  <c:v>D85 - Department of Aviation</c:v>
                </c:pt>
                <c:pt idx="13">
                  <c:v>D88 - Department of Water Management</c:v>
                </c:pt>
                <c:pt idx="14">
                  <c:v>D91 - Chicago Public Library</c:v>
                </c:pt>
              </c:strCache>
            </c:strRef>
          </c:cat>
          <c:val>
            <c:numRef>
              <c:f>'Department Payroll Analysis'!$B$4:$B$19</c:f>
              <c:numCache>
                <c:formatCode>General</c:formatCode>
                <c:ptCount val="15"/>
                <c:pt idx="0">
                  <c:v>389719.67</c:v>
                </c:pt>
                <c:pt idx="1">
                  <c:v>7571.5</c:v>
                </c:pt>
                <c:pt idx="2">
                  <c:v>3316.5899999999997</c:v>
                </c:pt>
                <c:pt idx="3">
                  <c:v>180.08</c:v>
                </c:pt>
                <c:pt idx="4">
                  <c:v>1187060.1500000001</c:v>
                </c:pt>
                <c:pt idx="5">
                  <c:v>101874.78</c:v>
                </c:pt>
                <c:pt idx="6">
                  <c:v>5416.08</c:v>
                </c:pt>
                <c:pt idx="7">
                  <c:v>20075.580000000005</c:v>
                </c:pt>
                <c:pt idx="8">
                  <c:v>769.44</c:v>
                </c:pt>
                <c:pt idx="9">
                  <c:v>1934</c:v>
                </c:pt>
                <c:pt idx="10">
                  <c:v>6530.21</c:v>
                </c:pt>
                <c:pt idx="11">
                  <c:v>10964.9</c:v>
                </c:pt>
                <c:pt idx="12">
                  <c:v>1068.1300000000001</c:v>
                </c:pt>
                <c:pt idx="13">
                  <c:v>6034.9400000000005</c:v>
                </c:pt>
                <c:pt idx="14">
                  <c:v>1713.96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F-491A-A64B-CB100F3C6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24584704"/>
        <c:axId val="424582408"/>
      </c:barChart>
      <c:catAx>
        <c:axId val="424584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82408"/>
        <c:crosses val="autoZero"/>
        <c:auto val="1"/>
        <c:lblAlgn val="ctr"/>
        <c:lblOffset val="100"/>
        <c:noMultiLvlLbl val="0"/>
      </c:catAx>
      <c:valAx>
        <c:axId val="424582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8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Project.xlsx]Payroll By Job Title!PivotTable3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Payroll By Job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'Payroll By Job Title'!$B$3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'Payroll By Job Title'!$A$4:$A$89</c:f>
              <c:strCache>
                <c:ptCount val="85"/>
                <c:pt idx="0">
                  <c:v>T0109 - ACCOUNTING TECHNICIAN</c:v>
                </c:pt>
                <c:pt idx="1">
                  <c:v>T0110 - ACCOUNTANT</c:v>
                </c:pt>
                <c:pt idx="2">
                  <c:v>T0111 - LEAD ACCOUNTANT</c:v>
                </c:pt>
                <c:pt idx="3">
                  <c:v>T0118 - DIRECTOR OF FINANCE</c:v>
                </c:pt>
                <c:pt idx="4">
                  <c:v>T0303 - ADMINISTRATIVE ASST III</c:v>
                </c:pt>
                <c:pt idx="5">
                  <c:v>T0304 - ASST TO THE COMMISSIONER</c:v>
                </c:pt>
                <c:pt idx="6">
                  <c:v>T0308 - STAFF ASST</c:v>
                </c:pt>
                <c:pt idx="7">
                  <c:v>T0310 - PROJECT MANAGER</c:v>
                </c:pt>
                <c:pt idx="8">
                  <c:v>T0313 - ASST COMMISSIONER</c:v>
                </c:pt>
                <c:pt idx="9">
                  <c:v>T0361 - DIR OF PERSONNEL POLICIES AND UTILIZATION</c:v>
                </c:pt>
                <c:pt idx="10">
                  <c:v>T0366 - STAFF ASSISTANT - EXCLUDED</c:v>
                </c:pt>
                <c:pt idx="11">
                  <c:v>T0381 - DIR OF ADMINISTRATION II</c:v>
                </c:pt>
                <c:pt idx="12">
                  <c:v>T0404 - STUDENT INTERN</c:v>
                </c:pt>
                <c:pt idx="13">
                  <c:v>T0431 - CLERK IV</c:v>
                </c:pt>
                <c:pt idx="14">
                  <c:v>T0446 - LIBRARY CLERK - HOURLY</c:v>
                </c:pt>
                <c:pt idx="15">
                  <c:v>T0539 - LIBRARY PAGE</c:v>
                </c:pt>
                <c:pt idx="16">
                  <c:v>T0634 - DATA SERVICES ADMINISTRATOR</c:v>
                </c:pt>
                <c:pt idx="17">
                  <c:v>T0705 - DIR OF PUBLIC AFFAIRS</c:v>
                </c:pt>
                <c:pt idx="18">
                  <c:v>T0801 - EXEC ADMINISTRATIVE ASST I</c:v>
                </c:pt>
                <c:pt idx="19">
                  <c:v>T0802 - EXEC ADMINISTRATIVE ASST II</c:v>
                </c:pt>
                <c:pt idx="20">
                  <c:v>T1126 - SENIOR PERFORMANCE ANALYST</c:v>
                </c:pt>
                <c:pt idx="21">
                  <c:v>T1191 - CONTRACTS ADMINISTRATOR</c:v>
                </c:pt>
                <c:pt idx="22">
                  <c:v>T1290 - MANAGER - ZONING BD OF APPEALS</c:v>
                </c:pt>
                <c:pt idx="23">
                  <c:v>T1291 - ZONING INVESTIGATOR</c:v>
                </c:pt>
                <c:pt idx="24">
                  <c:v>T1293 - SENIOR ZONING PLAN EXAMINER</c:v>
                </c:pt>
                <c:pt idx="25">
                  <c:v>T1299 - CHIEF ZONING PLAN EXAMINER</c:v>
                </c:pt>
                <c:pt idx="26">
                  <c:v>T1310 - ADMINISTRATIVE SERVICES OFFICER II EXCLD</c:v>
                </c:pt>
                <c:pt idx="27">
                  <c:v>T1315 - HUMAN RESOURCES BUSINESS PARTNER-EXCLD</c:v>
                </c:pt>
                <c:pt idx="28">
                  <c:v>T1402 - CITY PLANNER II</c:v>
                </c:pt>
                <c:pt idx="29">
                  <c:v>T1405 - CITY PLANNER V</c:v>
                </c:pt>
                <c:pt idx="30">
                  <c:v>T1407 - URBAN DESIGNER</c:v>
                </c:pt>
                <c:pt idx="31">
                  <c:v>T1408 - SUPERVISING PLANNER</c:v>
                </c:pt>
                <c:pt idx="32">
                  <c:v>T1430 - POLICY ANALYST</c:v>
                </c:pt>
                <c:pt idx="33">
                  <c:v>T1437 - FINANCIAL PLANNING ANALYST - EXCLD</c:v>
                </c:pt>
                <c:pt idx="34">
                  <c:v>T1441 - COORDINATING PLANNER</c:v>
                </c:pt>
                <c:pt idx="35">
                  <c:v>T1576 - CHIEF VOUCHER EXPEDITER</c:v>
                </c:pt>
                <c:pt idx="36">
                  <c:v>T1602 - SENIOR LAND DISPOSITION OFFICER</c:v>
                </c:pt>
                <c:pt idx="37">
                  <c:v>T1912 - PROJECT COORD</c:v>
                </c:pt>
                <c:pt idx="38">
                  <c:v>T1984 - COORD OF ECON DEV I - PLNG &amp; DEV</c:v>
                </c:pt>
                <c:pt idx="39">
                  <c:v>T1985 - COORD OF ECON DEV II - PLNG &amp; DEV</c:v>
                </c:pt>
                <c:pt idx="40">
                  <c:v>T2150 - BUILDING/CONSTRUCTION INSPECTOR</c:v>
                </c:pt>
                <c:pt idx="41">
                  <c:v>T2901 - DIR OF PLANNING RESEARCH AND DEVELOPMENT</c:v>
                </c:pt>
                <c:pt idx="42">
                  <c:v>T2915 - PROGRAM AUDITOR II</c:v>
                </c:pt>
                <c:pt idx="43">
                  <c:v>T3092 - PROGRAM DIR</c:v>
                </c:pt>
                <c:pt idx="44">
                  <c:v>T3496 - ANIMAL CONTROL OFFICER</c:v>
                </c:pt>
                <c:pt idx="45">
                  <c:v>T4210 - AVIATION SECURITY OFFICER</c:v>
                </c:pt>
                <c:pt idx="46">
                  <c:v>T5088 - FOREMAN OF STREET LIGHT REPAIRMEN</c:v>
                </c:pt>
                <c:pt idx="47">
                  <c:v>T5402 - ARCHITECT II</c:v>
                </c:pt>
                <c:pt idx="48">
                  <c:v>T5404 - ARCHITECT IV</c:v>
                </c:pt>
                <c:pt idx="49">
                  <c:v>T5431 - SR LANDSCAPE PLAN EXAMINER</c:v>
                </c:pt>
                <c:pt idx="50">
                  <c:v>T5432 - CHIEF LANDSCAPE PLAN EXAMINER</c:v>
                </c:pt>
                <c:pt idx="51">
                  <c:v>T6324 - SANITATION LABORER</c:v>
                </c:pt>
                <c:pt idx="52">
                  <c:v>T6605 - BLACKSMITH</c:v>
                </c:pt>
                <c:pt idx="53">
                  <c:v>T6673 - MACHINIST (AUTOMOTIVE)</c:v>
                </c:pt>
                <c:pt idx="54">
                  <c:v>T7021 - AIRPORT OPERATIONS SUPVSR II</c:v>
                </c:pt>
                <c:pt idx="55">
                  <c:v>T7160 - FLEET SERVICES ASST</c:v>
                </c:pt>
                <c:pt idx="56">
                  <c:v>T7183 - MOTOR TRUCK DRIVER</c:v>
                </c:pt>
                <c:pt idx="57">
                  <c:v>T7184 - POOL MOTOR TRUCK DRIVER</c:v>
                </c:pt>
                <c:pt idx="58">
                  <c:v>T7482 - PARKING ENFORCEMENT AIDE</c:v>
                </c:pt>
                <c:pt idx="59">
                  <c:v>T7743 - OPERATING ENGINEER-GROUP A</c:v>
                </c:pt>
                <c:pt idx="60">
                  <c:v>T7775 - STATIONARY FIREMAN</c:v>
                </c:pt>
                <c:pt idx="61">
                  <c:v>T8244 - FOREMAN OF LABORERS</c:v>
                </c:pt>
                <c:pt idx="62">
                  <c:v>T8601 - POLICE COMMUNICATIONS OPERATOR I</c:v>
                </c:pt>
                <c:pt idx="63">
                  <c:v>T8602 - POLICE COMMUNICATIONS OPERATOR II</c:v>
                </c:pt>
                <c:pt idx="64">
                  <c:v>T8745 - AMBULANCE COMMANDER</c:v>
                </c:pt>
                <c:pt idx="65">
                  <c:v>T8750 - PARAMEDIC</c:v>
                </c:pt>
                <c:pt idx="66">
                  <c:v>T8801 - FIREFIGHTER-EMT</c:v>
                </c:pt>
                <c:pt idx="67">
                  <c:v>T8802 - FIREFIGHTER-EMT (RECRUIT)</c:v>
                </c:pt>
                <c:pt idx="68">
                  <c:v>T8817 - CAPTAIN-EMT</c:v>
                </c:pt>
                <c:pt idx="69">
                  <c:v>T9161 - POLICE OFFICER</c:v>
                </c:pt>
                <c:pt idx="70">
                  <c:v>T9164 - POLICE OFFICER / FLD TRNG OFFICER</c:v>
                </c:pt>
                <c:pt idx="71">
                  <c:v>T9165 - POLICE OFFICER (ASSIGNED AS DETECTIVE)</c:v>
                </c:pt>
                <c:pt idx="72">
                  <c:v>T9171 - SERGEANT</c:v>
                </c:pt>
                <c:pt idx="73">
                  <c:v>T9173 - LIEUTENANT</c:v>
                </c:pt>
                <c:pt idx="74">
                  <c:v>T9197 - WARRANT AND EXTRADITION AIDE</c:v>
                </c:pt>
                <c:pt idx="75">
                  <c:v>T9410 - LABORER - APPRENTICE</c:v>
                </c:pt>
                <c:pt idx="76">
                  <c:v>T9411 - CONSTRUCTION LABORER</c:v>
                </c:pt>
                <c:pt idx="77">
                  <c:v>T9539 - CONCRETE LABORER</c:v>
                </c:pt>
                <c:pt idx="78">
                  <c:v>T9625 - STAFF ASST TO THE ALDERMAN</c:v>
                </c:pt>
                <c:pt idx="79">
                  <c:v>T9654 - ZONING ADMINISTRATOR</c:v>
                </c:pt>
                <c:pt idx="80">
                  <c:v>T9660 - FIRST DEPUTY COMMISSIONER</c:v>
                </c:pt>
                <c:pt idx="81">
                  <c:v>T9679 - DEPUTY COMMISSIONER</c:v>
                </c:pt>
                <c:pt idx="82">
                  <c:v>T9813 - MANAGING DEPUTY COMMISSIONER</c:v>
                </c:pt>
                <c:pt idx="83">
                  <c:v>T9921 - COMMISSIONER OF HOUSING</c:v>
                </c:pt>
                <c:pt idx="84">
                  <c:v>T9954 - COMMISSIONER OF PLANNING &amp; DEVELOPMENT</c:v>
                </c:pt>
              </c:strCache>
            </c:strRef>
          </c:cat>
          <c:val>
            <c:numRef>
              <c:f>'Payroll By Job Title'!$B$4:$B$89</c:f>
              <c:numCache>
                <c:formatCode>General</c:formatCode>
                <c:ptCount val="85"/>
                <c:pt idx="0">
                  <c:v>20989.5</c:v>
                </c:pt>
                <c:pt idx="1">
                  <c:v>180.08</c:v>
                </c:pt>
                <c:pt idx="2">
                  <c:v>9318</c:v>
                </c:pt>
                <c:pt idx="3">
                  <c:v>15825.5</c:v>
                </c:pt>
                <c:pt idx="4">
                  <c:v>21831.98</c:v>
                </c:pt>
                <c:pt idx="5">
                  <c:v>19906</c:v>
                </c:pt>
                <c:pt idx="6">
                  <c:v>28928</c:v>
                </c:pt>
                <c:pt idx="7">
                  <c:v>150476</c:v>
                </c:pt>
                <c:pt idx="8">
                  <c:v>116162.13</c:v>
                </c:pt>
                <c:pt idx="9">
                  <c:v>5212</c:v>
                </c:pt>
                <c:pt idx="10">
                  <c:v>8654.11</c:v>
                </c:pt>
                <c:pt idx="11">
                  <c:v>25002.5</c:v>
                </c:pt>
                <c:pt idx="12">
                  <c:v>10148.6</c:v>
                </c:pt>
                <c:pt idx="13">
                  <c:v>3437.5</c:v>
                </c:pt>
                <c:pt idx="14">
                  <c:v>1036.3599999999999</c:v>
                </c:pt>
                <c:pt idx="15">
                  <c:v>677.6</c:v>
                </c:pt>
                <c:pt idx="16">
                  <c:v>13669.62</c:v>
                </c:pt>
                <c:pt idx="17">
                  <c:v>18318</c:v>
                </c:pt>
                <c:pt idx="18">
                  <c:v>8159</c:v>
                </c:pt>
                <c:pt idx="19">
                  <c:v>12555</c:v>
                </c:pt>
                <c:pt idx="20">
                  <c:v>3347.5</c:v>
                </c:pt>
                <c:pt idx="21">
                  <c:v>9344</c:v>
                </c:pt>
                <c:pt idx="22">
                  <c:v>13822.5</c:v>
                </c:pt>
                <c:pt idx="23">
                  <c:v>32739</c:v>
                </c:pt>
                <c:pt idx="24">
                  <c:v>128566.86</c:v>
                </c:pt>
                <c:pt idx="25">
                  <c:v>10424</c:v>
                </c:pt>
                <c:pt idx="26">
                  <c:v>10882</c:v>
                </c:pt>
                <c:pt idx="27">
                  <c:v>4330</c:v>
                </c:pt>
                <c:pt idx="28">
                  <c:v>3754.5</c:v>
                </c:pt>
                <c:pt idx="29">
                  <c:v>133222.20000000001</c:v>
                </c:pt>
                <c:pt idx="30">
                  <c:v>9660.5</c:v>
                </c:pt>
                <c:pt idx="31">
                  <c:v>25442</c:v>
                </c:pt>
                <c:pt idx="32">
                  <c:v>29535</c:v>
                </c:pt>
                <c:pt idx="33">
                  <c:v>37472</c:v>
                </c:pt>
                <c:pt idx="34">
                  <c:v>58288</c:v>
                </c:pt>
                <c:pt idx="35">
                  <c:v>4982.5</c:v>
                </c:pt>
                <c:pt idx="36">
                  <c:v>47589.5</c:v>
                </c:pt>
                <c:pt idx="37">
                  <c:v>95602.55</c:v>
                </c:pt>
                <c:pt idx="38">
                  <c:v>13287</c:v>
                </c:pt>
                <c:pt idx="39">
                  <c:v>25856.11</c:v>
                </c:pt>
                <c:pt idx="40">
                  <c:v>769.44</c:v>
                </c:pt>
                <c:pt idx="41">
                  <c:v>28596</c:v>
                </c:pt>
                <c:pt idx="42">
                  <c:v>-237.79</c:v>
                </c:pt>
                <c:pt idx="43">
                  <c:v>22757</c:v>
                </c:pt>
                <c:pt idx="44">
                  <c:v>1934</c:v>
                </c:pt>
                <c:pt idx="45">
                  <c:v>235.8</c:v>
                </c:pt>
                <c:pt idx="46">
                  <c:v>88</c:v>
                </c:pt>
                <c:pt idx="47">
                  <c:v>42307</c:v>
                </c:pt>
                <c:pt idx="48">
                  <c:v>15264</c:v>
                </c:pt>
                <c:pt idx="49">
                  <c:v>12814.5</c:v>
                </c:pt>
                <c:pt idx="50">
                  <c:v>12822</c:v>
                </c:pt>
                <c:pt idx="51">
                  <c:v>3857.28</c:v>
                </c:pt>
                <c:pt idx="52">
                  <c:v>2004</c:v>
                </c:pt>
                <c:pt idx="53">
                  <c:v>912.24</c:v>
                </c:pt>
                <c:pt idx="54">
                  <c:v>832.33</c:v>
                </c:pt>
                <c:pt idx="55">
                  <c:v>400.35</c:v>
                </c:pt>
                <c:pt idx="56">
                  <c:v>883.13</c:v>
                </c:pt>
                <c:pt idx="57">
                  <c:v>1789.8</c:v>
                </c:pt>
                <c:pt idx="58">
                  <c:v>2589</c:v>
                </c:pt>
                <c:pt idx="59">
                  <c:v>628.22</c:v>
                </c:pt>
                <c:pt idx="60">
                  <c:v>3644.16</c:v>
                </c:pt>
                <c:pt idx="61">
                  <c:v>187.2</c:v>
                </c:pt>
                <c:pt idx="62">
                  <c:v>4893.4799999999996</c:v>
                </c:pt>
                <c:pt idx="63">
                  <c:v>522.6</c:v>
                </c:pt>
                <c:pt idx="64">
                  <c:v>2357.9899999999998</c:v>
                </c:pt>
                <c:pt idx="65">
                  <c:v>484.1</c:v>
                </c:pt>
                <c:pt idx="66">
                  <c:v>7306.9000000000005</c:v>
                </c:pt>
                <c:pt idx="67">
                  <c:v>1101.92</c:v>
                </c:pt>
                <c:pt idx="68">
                  <c:v>8824.67</c:v>
                </c:pt>
                <c:pt idx="69">
                  <c:v>51621.140000000007</c:v>
                </c:pt>
                <c:pt idx="70">
                  <c:v>4287.75</c:v>
                </c:pt>
                <c:pt idx="71">
                  <c:v>24647</c:v>
                </c:pt>
                <c:pt idx="72">
                  <c:v>11345.92</c:v>
                </c:pt>
                <c:pt idx="73">
                  <c:v>6263.25</c:v>
                </c:pt>
                <c:pt idx="74">
                  <c:v>362.22</c:v>
                </c:pt>
                <c:pt idx="75">
                  <c:v>1762.56</c:v>
                </c:pt>
                <c:pt idx="76">
                  <c:v>3672</c:v>
                </c:pt>
                <c:pt idx="77">
                  <c:v>3580.2000000000003</c:v>
                </c:pt>
                <c:pt idx="78">
                  <c:v>596.75</c:v>
                </c:pt>
                <c:pt idx="79">
                  <c:v>23266</c:v>
                </c:pt>
                <c:pt idx="80">
                  <c:v>6479.2</c:v>
                </c:pt>
                <c:pt idx="81">
                  <c:v>120099</c:v>
                </c:pt>
                <c:pt idx="82">
                  <c:v>68922.5</c:v>
                </c:pt>
                <c:pt idx="83">
                  <c:v>23749.5</c:v>
                </c:pt>
                <c:pt idx="84">
                  <c:v>24370.5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C-4706-BFEF-ADDC7AB1A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4308352"/>
        <c:axId val="614308024"/>
      </c:barChart>
      <c:catAx>
        <c:axId val="61430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8024"/>
        <c:crosses val="autoZero"/>
        <c:auto val="1"/>
        <c:lblAlgn val="ctr"/>
        <c:lblOffset val="100"/>
        <c:noMultiLvlLbl val="0"/>
      </c:catAx>
      <c:valAx>
        <c:axId val="61430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Project.xlsx]Payroll By Job Title!PivotTable4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Payroll By Pay  period</a:t>
            </a:r>
          </a:p>
        </c:rich>
      </c:tx>
      <c:layout>
        <c:manualLayout>
          <c:xMode val="edge"/>
          <c:yMode val="edge"/>
          <c:x val="0.3092290026246719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'Payroll By Job Title'!$E$3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'Payroll By Job Title'!$D$4:$D$27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</c:strCache>
            </c:strRef>
          </c:cat>
          <c:val>
            <c:numRef>
              <c:f>'Payroll By Job Title'!$E$4:$E$27</c:f>
              <c:numCache>
                <c:formatCode>General</c:formatCode>
                <c:ptCount val="23"/>
                <c:pt idx="0">
                  <c:v>164702.78000000003</c:v>
                </c:pt>
                <c:pt idx="1">
                  <c:v>135711.87</c:v>
                </c:pt>
                <c:pt idx="2">
                  <c:v>137388.97</c:v>
                </c:pt>
                <c:pt idx="3">
                  <c:v>161100.6</c:v>
                </c:pt>
                <c:pt idx="4">
                  <c:v>139924.49</c:v>
                </c:pt>
                <c:pt idx="5">
                  <c:v>171131.23</c:v>
                </c:pt>
                <c:pt idx="6">
                  <c:v>153431.6</c:v>
                </c:pt>
                <c:pt idx="7">
                  <c:v>141417.22000000003</c:v>
                </c:pt>
                <c:pt idx="8">
                  <c:v>170354.97</c:v>
                </c:pt>
                <c:pt idx="9">
                  <c:v>125120.69</c:v>
                </c:pt>
                <c:pt idx="10">
                  <c:v>119692.36</c:v>
                </c:pt>
                <c:pt idx="11">
                  <c:v>32543.739999999998</c:v>
                </c:pt>
                <c:pt idx="12">
                  <c:v>1036.3599999999999</c:v>
                </c:pt>
                <c:pt idx="13">
                  <c:v>14095.25</c:v>
                </c:pt>
                <c:pt idx="14">
                  <c:v>17077</c:v>
                </c:pt>
                <c:pt idx="15">
                  <c:v>12125.03</c:v>
                </c:pt>
                <c:pt idx="16">
                  <c:v>8668.7899999999991</c:v>
                </c:pt>
                <c:pt idx="17">
                  <c:v>5795.33</c:v>
                </c:pt>
                <c:pt idx="18">
                  <c:v>14601</c:v>
                </c:pt>
                <c:pt idx="19">
                  <c:v>786.94</c:v>
                </c:pt>
                <c:pt idx="20">
                  <c:v>9397.25</c:v>
                </c:pt>
                <c:pt idx="21">
                  <c:v>3347.5</c:v>
                </c:pt>
                <c:pt idx="22">
                  <c:v>4779.04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3-4479-860D-E63870A95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2253744"/>
        <c:axId val="672251120"/>
      </c:barChart>
      <c:catAx>
        <c:axId val="6722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51120"/>
        <c:crosses val="autoZero"/>
        <c:auto val="1"/>
        <c:lblAlgn val="ctr"/>
        <c:lblOffset val="100"/>
        <c:noMultiLvlLbl val="0"/>
      </c:catAx>
      <c:valAx>
        <c:axId val="6722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Project.xlsx]Department Payroll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Payroll Cost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Payroll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'Department Payroll Analysis'!$A$4:$A$19</c:f>
              <c:strCache>
                <c:ptCount val="15"/>
                <c:pt idx="0">
                  <c:v>D21 - Department of Housing</c:v>
                </c:pt>
                <c:pt idx="1">
                  <c:v>D27 - Department of Finance</c:v>
                </c:pt>
                <c:pt idx="2">
                  <c:v>D38 - Department of Fleet and Facility Management</c:v>
                </c:pt>
                <c:pt idx="3">
                  <c:v>D50 - Department of Family and Support Services</c:v>
                </c:pt>
                <c:pt idx="4">
                  <c:v>D54 - Department of Planning and Development</c:v>
                </c:pt>
                <c:pt idx="5">
                  <c:v>D57 - Chicago Police Department</c:v>
                </c:pt>
                <c:pt idx="6">
                  <c:v>D58 - Office of Emergency Management and Communications</c:v>
                </c:pt>
                <c:pt idx="7">
                  <c:v>D59 - Chicago Fire Department</c:v>
                </c:pt>
                <c:pt idx="8">
                  <c:v>D67 - Department of Buildings</c:v>
                </c:pt>
                <c:pt idx="9">
                  <c:v>D73 - Chicago Animal Care and Control</c:v>
                </c:pt>
                <c:pt idx="10">
                  <c:v>D81 - Department of Streets and Sanitation</c:v>
                </c:pt>
                <c:pt idx="11">
                  <c:v>D84 - Chicago Department of Transportation</c:v>
                </c:pt>
                <c:pt idx="12">
                  <c:v>D85 - Department of Aviation</c:v>
                </c:pt>
                <c:pt idx="13">
                  <c:v>D88 - Department of Water Management</c:v>
                </c:pt>
                <c:pt idx="14">
                  <c:v>D91 - Chicago Public Library</c:v>
                </c:pt>
              </c:strCache>
            </c:strRef>
          </c:cat>
          <c:val>
            <c:numRef>
              <c:f>'Department Payroll Analysis'!$B$4:$B$19</c:f>
              <c:numCache>
                <c:formatCode>General</c:formatCode>
                <c:ptCount val="15"/>
                <c:pt idx="0">
                  <c:v>389719.67</c:v>
                </c:pt>
                <c:pt idx="1">
                  <c:v>7571.5</c:v>
                </c:pt>
                <c:pt idx="2">
                  <c:v>3316.5899999999997</c:v>
                </c:pt>
                <c:pt idx="3">
                  <c:v>180.08</c:v>
                </c:pt>
                <c:pt idx="4">
                  <c:v>1187060.1500000001</c:v>
                </c:pt>
                <c:pt idx="5">
                  <c:v>101874.78</c:v>
                </c:pt>
                <c:pt idx="6">
                  <c:v>5416.08</c:v>
                </c:pt>
                <c:pt idx="7">
                  <c:v>20075.580000000005</c:v>
                </c:pt>
                <c:pt idx="8">
                  <c:v>769.44</c:v>
                </c:pt>
                <c:pt idx="9">
                  <c:v>1934</c:v>
                </c:pt>
                <c:pt idx="10">
                  <c:v>6530.21</c:v>
                </c:pt>
                <c:pt idx="11">
                  <c:v>10964.9</c:v>
                </c:pt>
                <c:pt idx="12">
                  <c:v>1068.1300000000001</c:v>
                </c:pt>
                <c:pt idx="13">
                  <c:v>6034.9400000000005</c:v>
                </c:pt>
                <c:pt idx="14">
                  <c:v>1713.96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3-4480-AE68-3431C000D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24584704"/>
        <c:axId val="424582408"/>
      </c:barChart>
      <c:catAx>
        <c:axId val="424584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82408"/>
        <c:crosses val="autoZero"/>
        <c:auto val="1"/>
        <c:lblAlgn val="ctr"/>
        <c:lblOffset val="100"/>
        <c:noMultiLvlLbl val="0"/>
      </c:catAx>
      <c:valAx>
        <c:axId val="424582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8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Project.xlsx]Payroll By Job Title!PivotTable3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Payroll By Job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'Payroll By Job Title'!$B$3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'Payroll By Job Title'!$A$4:$A$89</c:f>
              <c:strCache>
                <c:ptCount val="85"/>
                <c:pt idx="0">
                  <c:v>T0109 - ACCOUNTING TECHNICIAN</c:v>
                </c:pt>
                <c:pt idx="1">
                  <c:v>T0110 - ACCOUNTANT</c:v>
                </c:pt>
                <c:pt idx="2">
                  <c:v>T0111 - LEAD ACCOUNTANT</c:v>
                </c:pt>
                <c:pt idx="3">
                  <c:v>T0118 - DIRECTOR OF FINANCE</c:v>
                </c:pt>
                <c:pt idx="4">
                  <c:v>T0303 - ADMINISTRATIVE ASST III</c:v>
                </c:pt>
                <c:pt idx="5">
                  <c:v>T0304 - ASST TO THE COMMISSIONER</c:v>
                </c:pt>
                <c:pt idx="6">
                  <c:v>T0308 - STAFF ASST</c:v>
                </c:pt>
                <c:pt idx="7">
                  <c:v>T0310 - PROJECT MANAGER</c:v>
                </c:pt>
                <c:pt idx="8">
                  <c:v>T0313 - ASST COMMISSIONER</c:v>
                </c:pt>
                <c:pt idx="9">
                  <c:v>T0361 - DIR OF PERSONNEL POLICIES AND UTILIZATION</c:v>
                </c:pt>
                <c:pt idx="10">
                  <c:v>T0366 - STAFF ASSISTANT - EXCLUDED</c:v>
                </c:pt>
                <c:pt idx="11">
                  <c:v>T0381 - DIR OF ADMINISTRATION II</c:v>
                </c:pt>
                <c:pt idx="12">
                  <c:v>T0404 - STUDENT INTERN</c:v>
                </c:pt>
                <c:pt idx="13">
                  <c:v>T0431 - CLERK IV</c:v>
                </c:pt>
                <c:pt idx="14">
                  <c:v>T0446 - LIBRARY CLERK - HOURLY</c:v>
                </c:pt>
                <c:pt idx="15">
                  <c:v>T0539 - LIBRARY PAGE</c:v>
                </c:pt>
                <c:pt idx="16">
                  <c:v>T0634 - DATA SERVICES ADMINISTRATOR</c:v>
                </c:pt>
                <c:pt idx="17">
                  <c:v>T0705 - DIR OF PUBLIC AFFAIRS</c:v>
                </c:pt>
                <c:pt idx="18">
                  <c:v>T0801 - EXEC ADMINISTRATIVE ASST I</c:v>
                </c:pt>
                <c:pt idx="19">
                  <c:v>T0802 - EXEC ADMINISTRATIVE ASST II</c:v>
                </c:pt>
                <c:pt idx="20">
                  <c:v>T1126 - SENIOR PERFORMANCE ANALYST</c:v>
                </c:pt>
                <c:pt idx="21">
                  <c:v>T1191 - CONTRACTS ADMINISTRATOR</c:v>
                </c:pt>
                <c:pt idx="22">
                  <c:v>T1290 - MANAGER - ZONING BD OF APPEALS</c:v>
                </c:pt>
                <c:pt idx="23">
                  <c:v>T1291 - ZONING INVESTIGATOR</c:v>
                </c:pt>
                <c:pt idx="24">
                  <c:v>T1293 - SENIOR ZONING PLAN EXAMINER</c:v>
                </c:pt>
                <c:pt idx="25">
                  <c:v>T1299 - CHIEF ZONING PLAN EXAMINER</c:v>
                </c:pt>
                <c:pt idx="26">
                  <c:v>T1310 - ADMINISTRATIVE SERVICES OFFICER II EXCLD</c:v>
                </c:pt>
                <c:pt idx="27">
                  <c:v>T1315 - HUMAN RESOURCES BUSINESS PARTNER-EXCLD</c:v>
                </c:pt>
                <c:pt idx="28">
                  <c:v>T1402 - CITY PLANNER II</c:v>
                </c:pt>
                <c:pt idx="29">
                  <c:v>T1405 - CITY PLANNER V</c:v>
                </c:pt>
                <c:pt idx="30">
                  <c:v>T1407 - URBAN DESIGNER</c:v>
                </c:pt>
                <c:pt idx="31">
                  <c:v>T1408 - SUPERVISING PLANNER</c:v>
                </c:pt>
                <c:pt idx="32">
                  <c:v>T1430 - POLICY ANALYST</c:v>
                </c:pt>
                <c:pt idx="33">
                  <c:v>T1437 - FINANCIAL PLANNING ANALYST - EXCLD</c:v>
                </c:pt>
                <c:pt idx="34">
                  <c:v>T1441 - COORDINATING PLANNER</c:v>
                </c:pt>
                <c:pt idx="35">
                  <c:v>T1576 - CHIEF VOUCHER EXPEDITER</c:v>
                </c:pt>
                <c:pt idx="36">
                  <c:v>T1602 - SENIOR LAND DISPOSITION OFFICER</c:v>
                </c:pt>
                <c:pt idx="37">
                  <c:v>T1912 - PROJECT COORD</c:v>
                </c:pt>
                <c:pt idx="38">
                  <c:v>T1984 - COORD OF ECON DEV I - PLNG &amp; DEV</c:v>
                </c:pt>
                <c:pt idx="39">
                  <c:v>T1985 - COORD OF ECON DEV II - PLNG &amp; DEV</c:v>
                </c:pt>
                <c:pt idx="40">
                  <c:v>T2150 - BUILDING/CONSTRUCTION INSPECTOR</c:v>
                </c:pt>
                <c:pt idx="41">
                  <c:v>T2901 - DIR OF PLANNING RESEARCH AND DEVELOPMENT</c:v>
                </c:pt>
                <c:pt idx="42">
                  <c:v>T2915 - PROGRAM AUDITOR II</c:v>
                </c:pt>
                <c:pt idx="43">
                  <c:v>T3092 - PROGRAM DIR</c:v>
                </c:pt>
                <c:pt idx="44">
                  <c:v>T3496 - ANIMAL CONTROL OFFICER</c:v>
                </c:pt>
                <c:pt idx="45">
                  <c:v>T4210 - AVIATION SECURITY OFFICER</c:v>
                </c:pt>
                <c:pt idx="46">
                  <c:v>T5088 - FOREMAN OF STREET LIGHT REPAIRMEN</c:v>
                </c:pt>
                <c:pt idx="47">
                  <c:v>T5402 - ARCHITECT II</c:v>
                </c:pt>
                <c:pt idx="48">
                  <c:v>T5404 - ARCHITECT IV</c:v>
                </c:pt>
                <c:pt idx="49">
                  <c:v>T5431 - SR LANDSCAPE PLAN EXAMINER</c:v>
                </c:pt>
                <c:pt idx="50">
                  <c:v>T5432 - CHIEF LANDSCAPE PLAN EXAMINER</c:v>
                </c:pt>
                <c:pt idx="51">
                  <c:v>T6324 - SANITATION LABORER</c:v>
                </c:pt>
                <c:pt idx="52">
                  <c:v>T6605 - BLACKSMITH</c:v>
                </c:pt>
                <c:pt idx="53">
                  <c:v>T6673 - MACHINIST (AUTOMOTIVE)</c:v>
                </c:pt>
                <c:pt idx="54">
                  <c:v>T7021 - AIRPORT OPERATIONS SUPVSR II</c:v>
                </c:pt>
                <c:pt idx="55">
                  <c:v>T7160 - FLEET SERVICES ASST</c:v>
                </c:pt>
                <c:pt idx="56">
                  <c:v>T7183 - MOTOR TRUCK DRIVER</c:v>
                </c:pt>
                <c:pt idx="57">
                  <c:v>T7184 - POOL MOTOR TRUCK DRIVER</c:v>
                </c:pt>
                <c:pt idx="58">
                  <c:v>T7482 - PARKING ENFORCEMENT AIDE</c:v>
                </c:pt>
                <c:pt idx="59">
                  <c:v>T7743 - OPERATING ENGINEER-GROUP A</c:v>
                </c:pt>
                <c:pt idx="60">
                  <c:v>T7775 - STATIONARY FIREMAN</c:v>
                </c:pt>
                <c:pt idx="61">
                  <c:v>T8244 - FOREMAN OF LABORERS</c:v>
                </c:pt>
                <c:pt idx="62">
                  <c:v>T8601 - POLICE COMMUNICATIONS OPERATOR I</c:v>
                </c:pt>
                <c:pt idx="63">
                  <c:v>T8602 - POLICE COMMUNICATIONS OPERATOR II</c:v>
                </c:pt>
                <c:pt idx="64">
                  <c:v>T8745 - AMBULANCE COMMANDER</c:v>
                </c:pt>
                <c:pt idx="65">
                  <c:v>T8750 - PARAMEDIC</c:v>
                </c:pt>
                <c:pt idx="66">
                  <c:v>T8801 - FIREFIGHTER-EMT</c:v>
                </c:pt>
                <c:pt idx="67">
                  <c:v>T8802 - FIREFIGHTER-EMT (RECRUIT)</c:v>
                </c:pt>
                <c:pt idx="68">
                  <c:v>T8817 - CAPTAIN-EMT</c:v>
                </c:pt>
                <c:pt idx="69">
                  <c:v>T9161 - POLICE OFFICER</c:v>
                </c:pt>
                <c:pt idx="70">
                  <c:v>T9164 - POLICE OFFICER / FLD TRNG OFFICER</c:v>
                </c:pt>
                <c:pt idx="71">
                  <c:v>T9165 - POLICE OFFICER (ASSIGNED AS DETECTIVE)</c:v>
                </c:pt>
                <c:pt idx="72">
                  <c:v>T9171 - SERGEANT</c:v>
                </c:pt>
                <c:pt idx="73">
                  <c:v>T9173 - LIEUTENANT</c:v>
                </c:pt>
                <c:pt idx="74">
                  <c:v>T9197 - WARRANT AND EXTRADITION AIDE</c:v>
                </c:pt>
                <c:pt idx="75">
                  <c:v>T9410 - LABORER - APPRENTICE</c:v>
                </c:pt>
                <c:pt idx="76">
                  <c:v>T9411 - CONSTRUCTION LABORER</c:v>
                </c:pt>
                <c:pt idx="77">
                  <c:v>T9539 - CONCRETE LABORER</c:v>
                </c:pt>
                <c:pt idx="78">
                  <c:v>T9625 - STAFF ASST TO THE ALDERMAN</c:v>
                </c:pt>
                <c:pt idx="79">
                  <c:v>T9654 - ZONING ADMINISTRATOR</c:v>
                </c:pt>
                <c:pt idx="80">
                  <c:v>T9660 - FIRST DEPUTY COMMISSIONER</c:v>
                </c:pt>
                <c:pt idx="81">
                  <c:v>T9679 - DEPUTY COMMISSIONER</c:v>
                </c:pt>
                <c:pt idx="82">
                  <c:v>T9813 - MANAGING DEPUTY COMMISSIONER</c:v>
                </c:pt>
                <c:pt idx="83">
                  <c:v>T9921 - COMMISSIONER OF HOUSING</c:v>
                </c:pt>
                <c:pt idx="84">
                  <c:v>T9954 - COMMISSIONER OF PLANNING &amp; DEVELOPMENT</c:v>
                </c:pt>
              </c:strCache>
            </c:strRef>
          </c:cat>
          <c:val>
            <c:numRef>
              <c:f>'Payroll By Job Title'!$B$4:$B$89</c:f>
              <c:numCache>
                <c:formatCode>General</c:formatCode>
                <c:ptCount val="85"/>
                <c:pt idx="0">
                  <c:v>20989.5</c:v>
                </c:pt>
                <c:pt idx="1">
                  <c:v>180.08</c:v>
                </c:pt>
                <c:pt idx="2">
                  <c:v>9318</c:v>
                </c:pt>
                <c:pt idx="3">
                  <c:v>15825.5</c:v>
                </c:pt>
                <c:pt idx="4">
                  <c:v>21831.98</c:v>
                </c:pt>
                <c:pt idx="5">
                  <c:v>19906</c:v>
                </c:pt>
                <c:pt idx="6">
                  <c:v>28928</c:v>
                </c:pt>
                <c:pt idx="7">
                  <c:v>150476</c:v>
                </c:pt>
                <c:pt idx="8">
                  <c:v>116162.13</c:v>
                </c:pt>
                <c:pt idx="9">
                  <c:v>5212</c:v>
                </c:pt>
                <c:pt idx="10">
                  <c:v>8654.11</c:v>
                </c:pt>
                <c:pt idx="11">
                  <c:v>25002.5</c:v>
                </c:pt>
                <c:pt idx="12">
                  <c:v>10148.6</c:v>
                </c:pt>
                <c:pt idx="13">
                  <c:v>3437.5</c:v>
                </c:pt>
                <c:pt idx="14">
                  <c:v>1036.3599999999999</c:v>
                </c:pt>
                <c:pt idx="15">
                  <c:v>677.6</c:v>
                </c:pt>
                <c:pt idx="16">
                  <c:v>13669.62</c:v>
                </c:pt>
                <c:pt idx="17">
                  <c:v>18318</c:v>
                </c:pt>
                <c:pt idx="18">
                  <c:v>8159</c:v>
                </c:pt>
                <c:pt idx="19">
                  <c:v>12555</c:v>
                </c:pt>
                <c:pt idx="20">
                  <c:v>3347.5</c:v>
                </c:pt>
                <c:pt idx="21">
                  <c:v>9344</c:v>
                </c:pt>
                <c:pt idx="22">
                  <c:v>13822.5</c:v>
                </c:pt>
                <c:pt idx="23">
                  <c:v>32739</c:v>
                </c:pt>
                <c:pt idx="24">
                  <c:v>128566.86</c:v>
                </c:pt>
                <c:pt idx="25">
                  <c:v>10424</c:v>
                </c:pt>
                <c:pt idx="26">
                  <c:v>10882</c:v>
                </c:pt>
                <c:pt idx="27">
                  <c:v>4330</c:v>
                </c:pt>
                <c:pt idx="28">
                  <c:v>3754.5</c:v>
                </c:pt>
                <c:pt idx="29">
                  <c:v>133222.20000000001</c:v>
                </c:pt>
                <c:pt idx="30">
                  <c:v>9660.5</c:v>
                </c:pt>
                <c:pt idx="31">
                  <c:v>25442</c:v>
                </c:pt>
                <c:pt idx="32">
                  <c:v>29535</c:v>
                </c:pt>
                <c:pt idx="33">
                  <c:v>37472</c:v>
                </c:pt>
                <c:pt idx="34">
                  <c:v>58288</c:v>
                </c:pt>
                <c:pt idx="35">
                  <c:v>4982.5</c:v>
                </c:pt>
                <c:pt idx="36">
                  <c:v>47589.5</c:v>
                </c:pt>
                <c:pt idx="37">
                  <c:v>95602.55</c:v>
                </c:pt>
                <c:pt idx="38">
                  <c:v>13287</c:v>
                </c:pt>
                <c:pt idx="39">
                  <c:v>25856.11</c:v>
                </c:pt>
                <c:pt idx="40">
                  <c:v>769.44</c:v>
                </c:pt>
                <c:pt idx="41">
                  <c:v>28596</c:v>
                </c:pt>
                <c:pt idx="42">
                  <c:v>-237.79</c:v>
                </c:pt>
                <c:pt idx="43">
                  <c:v>22757</c:v>
                </c:pt>
                <c:pt idx="44">
                  <c:v>1934</c:v>
                </c:pt>
                <c:pt idx="45">
                  <c:v>235.8</c:v>
                </c:pt>
                <c:pt idx="46">
                  <c:v>88</c:v>
                </c:pt>
                <c:pt idx="47">
                  <c:v>42307</c:v>
                </c:pt>
                <c:pt idx="48">
                  <c:v>15264</c:v>
                </c:pt>
                <c:pt idx="49">
                  <c:v>12814.5</c:v>
                </c:pt>
                <c:pt idx="50">
                  <c:v>12822</c:v>
                </c:pt>
                <c:pt idx="51">
                  <c:v>3857.28</c:v>
                </c:pt>
                <c:pt idx="52">
                  <c:v>2004</c:v>
                </c:pt>
                <c:pt idx="53">
                  <c:v>912.24</c:v>
                </c:pt>
                <c:pt idx="54">
                  <c:v>832.33</c:v>
                </c:pt>
                <c:pt idx="55">
                  <c:v>400.35</c:v>
                </c:pt>
                <c:pt idx="56">
                  <c:v>883.13</c:v>
                </c:pt>
                <c:pt idx="57">
                  <c:v>1789.8</c:v>
                </c:pt>
                <c:pt idx="58">
                  <c:v>2589</c:v>
                </c:pt>
                <c:pt idx="59">
                  <c:v>628.22</c:v>
                </c:pt>
                <c:pt idx="60">
                  <c:v>3644.16</c:v>
                </c:pt>
                <c:pt idx="61">
                  <c:v>187.2</c:v>
                </c:pt>
                <c:pt idx="62">
                  <c:v>4893.4799999999996</c:v>
                </c:pt>
                <c:pt idx="63">
                  <c:v>522.6</c:v>
                </c:pt>
                <c:pt idx="64">
                  <c:v>2357.9899999999998</c:v>
                </c:pt>
                <c:pt idx="65">
                  <c:v>484.1</c:v>
                </c:pt>
                <c:pt idx="66">
                  <c:v>7306.9000000000005</c:v>
                </c:pt>
                <c:pt idx="67">
                  <c:v>1101.92</c:v>
                </c:pt>
                <c:pt idx="68">
                  <c:v>8824.67</c:v>
                </c:pt>
                <c:pt idx="69">
                  <c:v>51621.140000000007</c:v>
                </c:pt>
                <c:pt idx="70">
                  <c:v>4287.75</c:v>
                </c:pt>
                <c:pt idx="71">
                  <c:v>24647</c:v>
                </c:pt>
                <c:pt idx="72">
                  <c:v>11345.92</c:v>
                </c:pt>
                <c:pt idx="73">
                  <c:v>6263.25</c:v>
                </c:pt>
                <c:pt idx="74">
                  <c:v>362.22</c:v>
                </c:pt>
                <c:pt idx="75">
                  <c:v>1762.56</c:v>
                </c:pt>
                <c:pt idx="76">
                  <c:v>3672</c:v>
                </c:pt>
                <c:pt idx="77">
                  <c:v>3580.2000000000003</c:v>
                </c:pt>
                <c:pt idx="78">
                  <c:v>596.75</c:v>
                </c:pt>
                <c:pt idx="79">
                  <c:v>23266</c:v>
                </c:pt>
                <c:pt idx="80">
                  <c:v>6479.2</c:v>
                </c:pt>
                <c:pt idx="81">
                  <c:v>120099</c:v>
                </c:pt>
                <c:pt idx="82">
                  <c:v>68922.5</c:v>
                </c:pt>
                <c:pt idx="83">
                  <c:v>23749.5</c:v>
                </c:pt>
                <c:pt idx="84">
                  <c:v>24370.5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7-429D-BFA6-71C215C1D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4308352"/>
        <c:axId val="614308024"/>
      </c:barChart>
      <c:catAx>
        <c:axId val="61430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8024"/>
        <c:crosses val="autoZero"/>
        <c:auto val="1"/>
        <c:lblAlgn val="ctr"/>
        <c:lblOffset val="100"/>
        <c:noMultiLvlLbl val="0"/>
      </c:catAx>
      <c:valAx>
        <c:axId val="61430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Project.xlsx]Payroll By Job Title!PivotTable4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Payroll By Payperiod</a:t>
            </a:r>
          </a:p>
        </c:rich>
      </c:tx>
      <c:layout>
        <c:manualLayout>
          <c:xMode val="edge"/>
          <c:yMode val="edge"/>
          <c:x val="0.3092290026246719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'Payroll By Job Title'!$E$3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'Payroll By Job Title'!$D$4:$D$27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</c:strCache>
            </c:strRef>
          </c:cat>
          <c:val>
            <c:numRef>
              <c:f>'Payroll By Job Title'!$E$4:$E$27</c:f>
              <c:numCache>
                <c:formatCode>General</c:formatCode>
                <c:ptCount val="23"/>
                <c:pt idx="0">
                  <c:v>164702.78000000003</c:v>
                </c:pt>
                <c:pt idx="1">
                  <c:v>135711.87</c:v>
                </c:pt>
                <c:pt idx="2">
                  <c:v>137388.97</c:v>
                </c:pt>
                <c:pt idx="3">
                  <c:v>161100.6</c:v>
                </c:pt>
                <c:pt idx="4">
                  <c:v>139924.49</c:v>
                </c:pt>
                <c:pt idx="5">
                  <c:v>171131.23</c:v>
                </c:pt>
                <c:pt idx="6">
                  <c:v>153431.6</c:v>
                </c:pt>
                <c:pt idx="7">
                  <c:v>141417.22000000003</c:v>
                </c:pt>
                <c:pt idx="8">
                  <c:v>170354.97</c:v>
                </c:pt>
                <c:pt idx="9">
                  <c:v>125120.69</c:v>
                </c:pt>
                <c:pt idx="10">
                  <c:v>119692.36</c:v>
                </c:pt>
                <c:pt idx="11">
                  <c:v>32543.739999999998</c:v>
                </c:pt>
                <c:pt idx="12">
                  <c:v>1036.3599999999999</c:v>
                </c:pt>
                <c:pt idx="13">
                  <c:v>14095.25</c:v>
                </c:pt>
                <c:pt idx="14">
                  <c:v>17077</c:v>
                </c:pt>
                <c:pt idx="15">
                  <c:v>12125.03</c:v>
                </c:pt>
                <c:pt idx="16">
                  <c:v>8668.7899999999991</c:v>
                </c:pt>
                <c:pt idx="17">
                  <c:v>5795.33</c:v>
                </c:pt>
                <c:pt idx="18">
                  <c:v>14601</c:v>
                </c:pt>
                <c:pt idx="19">
                  <c:v>786.94</c:v>
                </c:pt>
                <c:pt idx="20">
                  <c:v>9397.25</c:v>
                </c:pt>
                <c:pt idx="21">
                  <c:v>3347.5</c:v>
                </c:pt>
                <c:pt idx="22">
                  <c:v>4779.04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0-4F76-870B-E76BD94B3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2253744"/>
        <c:axId val="672251120"/>
      </c:barChart>
      <c:catAx>
        <c:axId val="6722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51120"/>
        <c:crosses val="autoZero"/>
        <c:auto val="1"/>
        <c:lblAlgn val="ctr"/>
        <c:lblOffset val="100"/>
        <c:noMultiLvlLbl val="0"/>
      </c:catAx>
      <c:valAx>
        <c:axId val="6722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1003299</xdr:colOff>
      <xdr:row>2</xdr:row>
      <xdr:rowOff>171450</xdr:rowOff>
    </xdr:from>
    <xdr:to>
      <xdr:col>6</xdr:col>
      <xdr:colOff>52916</xdr:colOff>
      <xdr:row>17</xdr:row>
      <xdr:rowOff>74083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759BE0-5104-4C03-827A-AF1FF77C1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9525</xdr:colOff>
      <xdr:row>0</xdr:row>
      <xdr:rowOff>0</xdr:rowOff>
    </xdr:from>
    <xdr:ext cx="14116050" cy="5715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758445-AE01-4A84-963E-7C1B9D45CEE8}"/>
            </a:ext>
          </a:extLst>
        </xdr:cNvPr>
        <xdr:cNvSpPr txBox="1"/>
      </xdr:nvSpPr>
      <xdr:spPr>
        <a:xfrm>
          <a:off x="9525" y="0"/>
          <a:ext cx="14116050" cy="571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800">
              <a:latin typeface="Arial Black" panose="020B0A04020102020204" pitchFamily="34" charset="0"/>
            </a:rPr>
            <a:t>US EMPLOYEE PAYROLL ANALYSIS DASHHBOARD</a:t>
          </a:r>
        </a:p>
      </xdr:txBody>
    </xdr:sp>
    <xdr:clientData/>
  </xdr:oneCellAnchor>
  <xdr:twoCellAnchor>
    <xdr:from>
      <xdr:col>6</xdr:col>
      <xdr:colOff>74082</xdr:colOff>
      <xdr:row>2</xdr:row>
      <xdr:rowOff>190501</xdr:rowOff>
    </xdr:from>
    <xdr:to>
      <xdr:col>13</xdr:col>
      <xdr:colOff>465666</xdr:colOff>
      <xdr:row>17</xdr:row>
      <xdr:rowOff>105834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4062E9-671B-448A-9A4C-D92B26384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11642</xdr:colOff>
      <xdr:row>17</xdr:row>
      <xdr:rowOff>95249</xdr:rowOff>
    </xdr:from>
    <xdr:to>
      <xdr:col>6</xdr:col>
      <xdr:colOff>84668</xdr:colOff>
      <xdr:row>31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AF4D7F-C1CB-44F8-B9B9-FA67C5300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14287</xdr:rowOff>
    </xdr:from>
    <xdr:to>
      <xdr:col>9</xdr:col>
      <xdr:colOff>381000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D22F2-E2E2-454C-8FAA-9C1704999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0</xdr:row>
      <xdr:rowOff>138112</xdr:rowOff>
    </xdr:from>
    <xdr:to>
      <xdr:col>12</xdr:col>
      <xdr:colOff>466725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C0A52-16B1-4ABD-8010-C788CA8CD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219075</xdr:colOff>
      <xdr:row>15</xdr:row>
      <xdr:rowOff>33337</xdr:rowOff>
    </xdr:from>
    <xdr:to>
      <xdr:col>12</xdr:col>
      <xdr:colOff>523875</xdr:colOff>
      <xdr:row>29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BECDC6-4804-4ECD-8BD5-FB6F45F8E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6.981565277776" createdVersion="7" refreshedVersion="7" minRefreshableVersion="3" recordCount="499" xr:uid="{A7B54F1F-C6B5-4C8A-A166-152F07ED9033}">
  <cacheSource type="worksheet">
    <worksheetSource ref="A1:N500" sheet="US Employee Payroll Cleaned"/>
  </cacheSource>
  <cacheFields count="14">
    <cacheField name="AMOUNT" numFmtId="0">
      <sharedItems containsSemiMixedTypes="0" containsString="0" containsNumber="1" minValue="-1574.39" maxValue="13669.62"/>
    </cacheField>
    <cacheField name="FUND" numFmtId="49">
      <sharedItems/>
    </cacheField>
    <cacheField name="DEPARTMENT FUNCTION" numFmtId="49">
      <sharedItems/>
    </cacheField>
    <cacheField name="DEPARTMENT" numFmtId="49">
      <sharedItems count="15">
        <s v="D54 - Department of Planning and Development"/>
        <s v="D21 - Department of Housing"/>
        <s v="D57 - Chicago Police Department"/>
        <s v="D59 - Chicago Fire Department"/>
        <s v="D38 - Department of Fleet and Facility Management"/>
        <s v="D85 - Department of Aviation"/>
        <s v="D84 - Chicago Department of Transportation"/>
        <s v="D91 - Chicago Public Library"/>
        <s v="D67 - Department of Buildings"/>
        <s v="D50 - Department of Family and Support Services"/>
        <s v="D58 - Office of Emergency Management and Communications"/>
        <s v="D88 - Department of Water Management"/>
        <s v="D81 - Department of Streets and Sanitation"/>
        <s v="D73 - Chicago Animal Care and Control"/>
        <s v="D27 - Department of Finance"/>
      </sharedItems>
    </cacheField>
    <cacheField name="APPROPRIATION" numFmtId="49">
      <sharedItems/>
    </cacheField>
    <cacheField name="TITLE" numFmtId="49">
      <sharedItems count="85">
        <s v="T0109 - ACCOUNTING TECHNICIAN"/>
        <s v="T0303 - ADMINISTRATIVE ASST III"/>
        <s v="T1405 - CITY PLANNER V"/>
        <s v="T5402 - ARCHITECT II"/>
        <s v="T5432 - CHIEF LANDSCAPE PLAN EXAMINER"/>
        <s v="T0313 - ASST COMMISSIONER"/>
        <s v="T0118 - DIRECTOR OF FINANCE"/>
        <s v="T1293 - SENIOR ZONING PLAN EXAMINER"/>
        <s v="T1430 - POLICY ANALYST"/>
        <s v="T2901 - DIR OF PLANNING RESEARCH AND DEVELOPMENT"/>
        <s v="T1602 - SENIOR LAND DISPOSITION OFFICER"/>
        <s v="T1985 - COORD OF ECON DEV II - PLNG &amp; DEV"/>
        <s v="T5431 - SR LANDSCAPE PLAN EXAMINER"/>
        <s v="T9197 - WARRANT AND EXTRADITION AIDE"/>
        <s v="T9161 - POLICE OFFICER"/>
        <s v="T0381 - DIR OF ADMINISTRATION II"/>
        <s v="T1912 - PROJECT COORD"/>
        <s v="T9679 - DEPUTY COMMISSIONER"/>
        <s v="T0802 - EXEC ADMINISTRATIVE ASST II"/>
        <s v="T9813 - MANAGING DEPUTY COMMISSIONER"/>
        <s v="T0404 - STUDENT INTERN"/>
        <s v="T0308 - STAFF ASST"/>
        <s v="T0361 - DIR OF PERSONNEL POLICIES AND UTILIZATION"/>
        <s v="T1984 - COORD OF ECON DEV I - PLNG &amp; DEV"/>
        <s v="T0310 - PROJECT MANAGER"/>
        <s v="T1299 - CHIEF ZONING PLAN EXAMINER"/>
        <s v="T9654 - ZONING ADMINISTRATOR"/>
        <s v="T1291 - ZONING INVESTIGATOR"/>
        <s v="T8801 - FIREFIGHTER-EMT"/>
        <s v="T1310 - ADMINISTRATIVE SERVICES OFFICER II EXCLD"/>
        <s v="T1437 - FINANCIAL PLANNING ANALYST - EXCLD"/>
        <s v="T1290 - MANAGER - ZONING BD OF APPEALS"/>
        <s v="T1441 - COORDINATING PLANNER"/>
        <s v="T0366 - STAFF ASSISTANT - EXCLUDED"/>
        <s v="T0801 - EXEC ADMINISTRATIVE ASST I"/>
        <s v="T3092 - PROGRAM DIR"/>
        <s v="T0304 - ASST TO THE COMMISSIONER"/>
        <s v="T0705 - DIR OF PUBLIC AFFAIRS"/>
        <s v="T1407 - URBAN DESIGNER"/>
        <s v="T9625 - STAFF ASST TO THE ALDERMAN"/>
        <s v="T5404 - ARCHITECT IV"/>
        <s v="T9921 - COMMISSIONER OF HOUSING"/>
        <s v="T9954 - COMMISSIONER OF PLANNING &amp; DEVELOPMENT"/>
        <s v="T6605 - BLACKSMITH"/>
        <s v="T1408 - SUPERVISING PLANNER"/>
        <s v="T2915 - PROGRAM AUDITOR II"/>
        <s v="T9165 - POLICE OFFICER (ASSIGNED AS DETECTIVE)"/>
        <s v="T4210 - AVIATION SECURITY OFFICER"/>
        <s v="T9539 - CONCRETE LABORER"/>
        <s v="T0446 - LIBRARY CLERK - HOURLY"/>
        <s v="T2150 - BUILDING/CONSTRUCTION INSPECTOR"/>
        <s v="T0110 - ACCOUNTANT"/>
        <s v="T8601 - POLICE COMMUNICATIONS OPERATOR I"/>
        <s v="T8802 - FIREFIGHTER-EMT (RECRUIT)"/>
        <s v="T7743 - OPERATING ENGINEER-GROUP A"/>
        <s v="T9171 - SERGEANT"/>
        <s v="T8244 - FOREMAN OF LABORERS"/>
        <s v="T7184 - POOL MOTOR TRUCK DRIVER"/>
        <s v="T7021 - AIRPORT OPERATIONS SUPVSR II"/>
        <s v="T6324 - SANITATION LABORER"/>
        <s v="T0431 - CLERK IV"/>
        <s v="T6673 - MACHINIST (AUTOMOTIVE)"/>
        <s v="T7775 - STATIONARY FIREMAN"/>
        <s v="T8745 - AMBULANCE COMMANDER"/>
        <s v="T8817 - CAPTAIN-EMT"/>
        <s v="T0539 - LIBRARY PAGE"/>
        <s v="T5088 - FOREMAN OF STREET LIGHT REPAIRMEN"/>
        <s v="T9173 - LIEUTENANT"/>
        <s v="T7183 - MOTOR TRUCK DRIVER"/>
        <s v="T3496 - ANIMAL CONTROL OFFICER"/>
        <s v="T8750 - PARAMEDIC"/>
        <s v="T9411 - CONSTRUCTION LABORER"/>
        <s v="T7482 - PARKING ENFORCEMENT AIDE"/>
        <s v="T8602 - POLICE COMMUNICATIONS OPERATOR II"/>
        <s v="T9164 - POLICE OFFICER / FLD TRNG OFFICER"/>
        <s v="T1576 - CHIEF VOUCHER EXPEDITER"/>
        <s v="T1126 - SENIOR PERFORMANCE ANALYST"/>
        <s v="T9410 - LABORER - APPRENTICE"/>
        <s v="T0111 - LEAD ACCOUNTANT"/>
        <s v="T1402 - CITY PLANNER II"/>
        <s v="T1191 - CONTRACTS ADMINISTRATOR"/>
        <s v="T9660 - FIRST DEPUTY COMMISSIONER"/>
        <s v="T0634 - DATA SERVICES ADMINISTRATOR"/>
        <s v="T7160 - FLEET SERVICES ASST"/>
        <s v="T1315 - HUMAN RESOURCES BUSINESS PARTNER-EXCLD"/>
      </sharedItems>
    </cacheField>
    <cacheField name="EMPLOYEE DATASET ID" numFmtId="49">
      <sharedItems containsMixedTypes="1" containsNumber="1" containsInteger="1" minValue="2884670000000" maxValue="2884670000000"/>
    </cacheField>
    <cacheField name="EMPLOYEE NAME" numFmtId="0">
      <sharedItems/>
    </cacheField>
    <cacheField name="PAYROLL PERIOD" numFmtId="1">
      <sharedItems containsSemiMixedTypes="0" containsString="0" containsNumber="1" containsInteger="1" minValue="1" maxValue="24" count="23">
        <n v="1"/>
        <n v="2"/>
        <n v="3"/>
        <n v="4"/>
        <n v="9"/>
        <n v="11"/>
        <n v="5"/>
        <n v="6"/>
        <n v="7"/>
        <n v="24"/>
        <n v="8"/>
        <n v="10"/>
        <n v="19"/>
        <n v="18"/>
        <n v="16"/>
        <n v="22"/>
        <n v="13"/>
        <n v="12"/>
        <n v="14"/>
        <n v="21"/>
        <n v="17"/>
        <n v="15"/>
        <n v="23"/>
      </sharedItems>
    </cacheField>
    <cacheField name="DEPARTMENT CODE" numFmtId="0">
      <sharedItems/>
    </cacheField>
    <cacheField name="FUND CODE" numFmtId="49">
      <sharedItems/>
    </cacheField>
    <cacheField name="APPROPRIATION CODE" numFmtId="49">
      <sharedItems/>
    </cacheField>
    <cacheField name="TITLE CODE" numFmtId="49">
      <sharedItems/>
    </cacheField>
    <cacheField name="RECORD ID" numFmtId="49">
      <sharedItems containsMixedTypes="1" containsNumber="1" containsInteger="1" minValue="2.8846699999999999E+33" maxValue="2.8846699999999999E+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3556"/>
    <s v="F0100 - CORPORATE FUND"/>
    <s v="City Development"/>
    <x v="0"/>
    <s v="A0005 - SALARIES AND WAGES - ON PAYROLL"/>
    <x v="0"/>
    <s v="C1081EDB5EEAE1"/>
    <s v=" TACCAD, CLARIBEL"/>
    <x v="0"/>
    <s v="D54"/>
    <s v="F0100"/>
    <s v="A0005"/>
    <s v="T0109"/>
    <s v="C1081EDB5EEAE12023142455196394809"/>
  </r>
  <r>
    <n v="3902.5"/>
    <s v="F0100 - CORPORATE FUND"/>
    <s v="City Development"/>
    <x v="0"/>
    <s v="A0005 - SALARIES AND WAGES - ON PAYROLL"/>
    <x v="1"/>
    <s v="90D4F9839B1EE3"/>
    <s v=" GRAYER, SHELIA D"/>
    <x v="0"/>
    <s v="D54"/>
    <s v="F0100"/>
    <s v="A0005"/>
    <s v="T0303"/>
    <s v="90D4F9839B1EE320231500216338519161"/>
  </r>
  <r>
    <n v="3160.5"/>
    <s v="F0100 - CORPORATE FUND"/>
    <s v="City Development"/>
    <x v="0"/>
    <s v="A0005 - SALARIES AND WAGES - ON PAYROLL"/>
    <x v="2"/>
    <s v="4146A18BC5805C"/>
    <s v=" CORPUZ, BENJAMIN A"/>
    <x v="0"/>
    <s v="D54"/>
    <s v="F0100"/>
    <s v="A0005"/>
    <s v="T1405"/>
    <s v="4146A18BC5805C20231371115816750534"/>
  </r>
  <r>
    <n v="3711.5"/>
    <s v="F0100 - CORPORATE FUND"/>
    <s v="City Development"/>
    <x v="0"/>
    <s v="A0005 - SALARIES AND WAGES - ON PAYROLL"/>
    <x v="2"/>
    <s v="73BA524443E82D"/>
    <s v=" THRUN, EMILY"/>
    <x v="0"/>
    <s v="D54"/>
    <s v="F0100"/>
    <s v="A0005"/>
    <s v="T1405"/>
    <s v="73BA524443E82D20231918844264279950"/>
  </r>
  <r>
    <n v="3340.5"/>
    <s v="F0100 - CORPORATE FUND"/>
    <s v="City Development"/>
    <x v="0"/>
    <s v="A0005 - SALARIES AND WAGES - ON PAYROLL"/>
    <x v="3"/>
    <s v="FABEBFAD17362B"/>
    <s v=" BARTON, EMILY M"/>
    <x v="0"/>
    <s v="D54"/>
    <s v="F0100"/>
    <s v="A0005"/>
    <s v="T5402"/>
    <s v="FABEBFAD17362B20231891354375792176"/>
  </r>
  <r>
    <n v="4274"/>
    <s v="F0100 - CORPORATE FUND"/>
    <s v="City Development"/>
    <x v="0"/>
    <s v="A0005 - SALARIES AND WAGES - ON PAYROLL"/>
    <x v="4"/>
    <s v="9B82270E9FBFC9"/>
    <s v=" DAYE, RONALD J"/>
    <x v="0"/>
    <s v="D54"/>
    <s v="F0100"/>
    <s v="A0005"/>
    <s v="T5432"/>
    <s v="9B82270E9FBFC920231680319481831943"/>
  </r>
  <r>
    <n v="-194.51"/>
    <s v="F0100 - CORPORATE FUND"/>
    <s v="City Development"/>
    <x v="0"/>
    <s v="A0005 - SALARIES AND WAGES - ON PAYROLL"/>
    <x v="5"/>
    <s v="0A30E99A8A025B"/>
    <s v=" ALBERT, DAMIAN K"/>
    <x v="1"/>
    <s v="D54"/>
    <s v="F0100"/>
    <s v="A0005"/>
    <s v="T0313"/>
    <s v="0A30E99A8A025B20232415253293962003"/>
  </r>
  <r>
    <n v="5212"/>
    <s v="F0100 - CORPORATE FUND"/>
    <s v="City Development"/>
    <x v="0"/>
    <s v="A0005 - SALARIES AND WAGES - ON PAYROLL"/>
    <x v="6"/>
    <s v="B8E59990646B62"/>
    <s v=" BUDNIK, ALESSANDRA C"/>
    <x v="1"/>
    <s v="D54"/>
    <s v="F0100"/>
    <s v="A0005"/>
    <s v="T0118"/>
    <s v="B8E59990646B622023279498489467265"/>
  </r>
  <r>
    <n v="3902.5"/>
    <s v="F0100 - CORPORATE FUND"/>
    <s v="City Development"/>
    <x v="0"/>
    <s v="A0005 - SALARIES AND WAGES - ON PAYROLL"/>
    <x v="1"/>
    <s v="90D4F9839B1EE3"/>
    <s v=" GRAYER, SHELIA D"/>
    <x v="1"/>
    <s v="D54"/>
    <s v="F0100"/>
    <s v="A0005"/>
    <s v="T0303"/>
    <s v="90D4F9839B1EE320232197657932526116"/>
  </r>
  <r>
    <n v="2542.5"/>
    <s v="F0100 - CORPORATE FUND"/>
    <s v="City Development"/>
    <x v="0"/>
    <s v="A0005 - SALARIES AND WAGES - ON PAYROLL"/>
    <x v="7"/>
    <s v="D6F0FB9FC44E17"/>
    <s v=" NOLTER, ROBERT J"/>
    <x v="1"/>
    <s v="D54"/>
    <s v="F0100"/>
    <s v="A0005"/>
    <s v="T1293"/>
    <s v="D6F0FB9FC44E1720232226438981182826"/>
  </r>
  <r>
    <n v="3240.5"/>
    <s v="F0100 - CORPORATE FUND"/>
    <s v="City Development"/>
    <x v="0"/>
    <s v="A0005 - SALARIES AND WAGES - ON PAYROLL"/>
    <x v="7"/>
    <s v="92E1F59DF1DF8D"/>
    <s v=" BERAN, PETER D"/>
    <x v="1"/>
    <s v="D54"/>
    <s v="F0100"/>
    <s v="A0005"/>
    <s v="T1293"/>
    <s v="92E1F59DF1DF8D20232725595860732288"/>
  </r>
  <r>
    <n v="3711.5"/>
    <s v="F0100 - CORPORATE FUND"/>
    <s v="City Development"/>
    <x v="0"/>
    <s v="A0005 - SALARIES AND WAGES - ON PAYROLL"/>
    <x v="2"/>
    <s v="73BA524443E82D"/>
    <s v=" THRUN, EMILY"/>
    <x v="1"/>
    <s v="D54"/>
    <s v="F0100"/>
    <s v="A0005"/>
    <s v="T1405"/>
    <s v="73BA524443E82D20232743816382565908"/>
  </r>
  <r>
    <n v="4534"/>
    <s v="F0100 - CORPORATE FUND"/>
    <s v="City Development"/>
    <x v="1"/>
    <s v="A0005 - SALARIES AND WAGES - ON PAYROLL"/>
    <x v="5"/>
    <s v="B1DCE5C3C3A044"/>
    <s v=" WEBER, MICHAEL P"/>
    <x v="2"/>
    <s v="D21"/>
    <s v="F0100"/>
    <s v="A0005"/>
    <s v="T0313"/>
    <s v="B1DCE5C3C3A04420233133882940397577"/>
  </r>
  <r>
    <n v="3607.5"/>
    <s v="F0100 - CORPORATE FUND"/>
    <s v="City Development"/>
    <x v="1"/>
    <s v="A0005 - SALARIES AND WAGES - ON PAYROLL"/>
    <x v="8"/>
    <s v="1AFFC8FE80ACB6"/>
    <s v=" NELSON, GABRIELLA M"/>
    <x v="2"/>
    <s v="D21"/>
    <s v="F0100"/>
    <s v="A0005"/>
    <s v="T1430"/>
    <s v="1AFFC8FE80ACB620233633440217234554"/>
  </r>
  <r>
    <n v="4766"/>
    <s v="F0100 - CORPORATE FUND"/>
    <s v="City Development"/>
    <x v="1"/>
    <s v="A0005 - SALARIES AND WAGES - ON PAYROLL"/>
    <x v="9"/>
    <s v="C28E727C8EB8AF"/>
    <s v=" HERTZ, DANIEL K"/>
    <x v="2"/>
    <s v="D21"/>
    <s v="F0100"/>
    <s v="A0005"/>
    <s v="T2901"/>
    <s v="C28E727C8EB8AF20233478946019908088"/>
  </r>
  <r>
    <n v="2708"/>
    <s v="F0100 - CORPORATE FUND"/>
    <s v="City Development"/>
    <x v="0"/>
    <s v="A0005 - SALARIES AND WAGES - ON PAYROLL"/>
    <x v="10"/>
    <s v="C57C9A2F1A1F8D"/>
    <s v=" THOMPSON, TAYLOR J"/>
    <x v="2"/>
    <s v="D54"/>
    <s v="F0100"/>
    <s v="A0005"/>
    <s v="T1602"/>
    <s v="C57C9A2F1A1F8D20233744047331225155"/>
  </r>
  <r>
    <n v="4536"/>
    <s v="F0100 - CORPORATE FUND"/>
    <s v="City Development"/>
    <x v="0"/>
    <s v="A0005 - SALARIES AND WAGES - ON PAYROLL"/>
    <x v="11"/>
    <s v="197E06974C23C4"/>
    <s v=" ROBACK, BRADLEY G"/>
    <x v="2"/>
    <s v="D54"/>
    <s v="F0100"/>
    <s v="A0005"/>
    <s v="T1985"/>
    <s v="197E06974C23C420233196967162062698"/>
  </r>
  <r>
    <n v="4271.5"/>
    <s v="F0100 - CORPORATE FUND"/>
    <s v="City Development"/>
    <x v="0"/>
    <s v="A0005 - SALARIES AND WAGES - ON PAYROLL"/>
    <x v="12"/>
    <s v="6AE3E9CF0CE168"/>
    <s v=" OCIEPKA, LESZEK"/>
    <x v="2"/>
    <s v="D54"/>
    <s v="F0100"/>
    <s v="A0005"/>
    <s v="T5431"/>
    <s v="6AE3E9CF0CE16820233672988467474478"/>
  </r>
  <r>
    <n v="4534"/>
    <s v="F0100 - CORPORATE FUND"/>
    <s v="City Development"/>
    <x v="1"/>
    <s v="A0005 - SALARIES AND WAGES - ON PAYROLL"/>
    <x v="5"/>
    <s v="B1DCE5C3C3A044"/>
    <s v=" WEBER, MICHAEL P"/>
    <x v="3"/>
    <s v="D21"/>
    <s v="F0100"/>
    <s v="A0005"/>
    <s v="T0313"/>
    <s v="B1DCE5C3C3A04420234972133094063392"/>
  </r>
  <r>
    <n v="362.22"/>
    <s v="F0100 - CORPORATE FUND"/>
    <s v="Public Safety"/>
    <x v="2"/>
    <s v="A0020 - OVERTIME"/>
    <x v="13"/>
    <s v="9F018490615DD3"/>
    <s v=" ROWE, BRIAN M"/>
    <x v="4"/>
    <s v="D57"/>
    <s v="F0100"/>
    <s v="A0020"/>
    <s v="T9197"/>
    <s v="9F018490615DD320239824134983456631"/>
  </r>
  <r>
    <n v="735.43"/>
    <s v="F0100 - CORPORATE FUND"/>
    <s v="Public Safety"/>
    <x v="2"/>
    <s v="A0020 - OVERTIME"/>
    <x v="14"/>
    <s v="C02E072AF16907"/>
    <s v=" MONTE,  GRANT L"/>
    <x v="5"/>
    <s v="D57"/>
    <s v="F0100"/>
    <s v="A0020"/>
    <s v="T9161"/>
    <s v="C02E072AF16907202511763021668089124"/>
  </r>
  <r>
    <n v="3902.5"/>
    <s v="F0100 - CORPORATE FUND"/>
    <s v="City Development"/>
    <x v="0"/>
    <s v="A0005 - SALARIES AND WAGES - ON PAYROLL"/>
    <x v="1"/>
    <s v="90D4F9839B1EE3"/>
    <s v=" GRAYER, SHELIA D"/>
    <x v="3"/>
    <s v="D54"/>
    <s v="F0100"/>
    <s v="A0005"/>
    <s v="T0303"/>
    <s v="90D4F9839B1EE320234238395928473509"/>
  </r>
  <r>
    <n v="4534"/>
    <s v="F0100 - CORPORATE FUND"/>
    <s v="City Development"/>
    <x v="0"/>
    <s v="A0005 - SALARIES AND WAGES - ON PAYROLL"/>
    <x v="5"/>
    <s v="541CC65F52A26C"/>
    <s v=" LAW, JOHN A"/>
    <x v="3"/>
    <s v="D54"/>
    <s v="F0100"/>
    <s v="A0005"/>
    <s v="T0313"/>
    <s v="541CC65F52A26C20234365252906832652"/>
  </r>
  <r>
    <n v="4134.5"/>
    <s v="F0100 - CORPORATE FUND"/>
    <s v="City Development"/>
    <x v="0"/>
    <s v="A0005 - SALARIES AND WAGES - ON PAYROLL"/>
    <x v="15"/>
    <s v="4450854AC2FA16"/>
    <s v=" CANNON, ANGELA"/>
    <x v="3"/>
    <s v="D54"/>
    <s v="F0100"/>
    <s v="A0005"/>
    <s v="T0381"/>
    <s v="4450854AC2FA1620234458426745067768"/>
  </r>
  <r>
    <n v="3711.5"/>
    <s v="F0100 - CORPORATE FUND"/>
    <s v="City Development"/>
    <x v="0"/>
    <s v="A0005 - SALARIES AND WAGES - ON PAYROLL"/>
    <x v="2"/>
    <s v="73BA524443E82D"/>
    <s v=" THRUN, EMILY"/>
    <x v="3"/>
    <s v="D54"/>
    <s v="F0100"/>
    <s v="A0005"/>
    <s v="T1405"/>
    <s v="73BA524443E82D20234679780347246004"/>
  </r>
  <r>
    <n v="2783.5"/>
    <s v="F0100 - CORPORATE FUND"/>
    <s v="City Development"/>
    <x v="0"/>
    <s v="A0005 - SALARIES AND WAGES - ON PAYROLL"/>
    <x v="16"/>
    <s v="630B0B07D3A05D"/>
    <s v=" BATSON, ELAINE S"/>
    <x v="3"/>
    <s v="D54"/>
    <s v="F0100"/>
    <s v="A0005"/>
    <s v="T1912"/>
    <s v="630B0B07D3A05D20234313086520115297"/>
  </r>
  <r>
    <n v="3278"/>
    <s v="F0100 - CORPORATE FUND"/>
    <s v="City Development"/>
    <x v="0"/>
    <s v="A0005 - SALARIES AND WAGES - ON PAYROLL"/>
    <x v="16"/>
    <s v="5E305F19D06DF7"/>
    <s v=" KLICH"/>
    <x v="3"/>
    <s v="D54"/>
    <s v="F0100"/>
    <s v="A0005"/>
    <s v="T1912"/>
    <s v="5E305F19D06DF720234541500789363721"/>
  </r>
  <r>
    <n v="2934.5"/>
    <s v="F0100 - CORPORATE FUND"/>
    <s v="City Development"/>
    <x v="0"/>
    <s v="A0005 - SALARIES AND WAGES - ON PAYROLL"/>
    <x v="3"/>
    <s v="7493FE5A25A088"/>
    <s v=" TAYLOR, TYLER H"/>
    <x v="3"/>
    <s v="D54"/>
    <s v="F0100"/>
    <s v="A0005"/>
    <s v="T5402"/>
    <s v="7493FE5A25A08820234323238095024397"/>
  </r>
  <r>
    <n v="3340.5"/>
    <s v="F0100 - CORPORATE FUND"/>
    <s v="City Development"/>
    <x v="0"/>
    <s v="A0005 - SALARIES AND WAGES - ON PAYROLL"/>
    <x v="3"/>
    <s v="FABEBFAD17362B"/>
    <s v=" BARTON, EMILY M"/>
    <x v="3"/>
    <s v="D54"/>
    <s v="F0100"/>
    <s v="A0005"/>
    <s v="T5402"/>
    <s v="FABEBFAD17362B20234853509367174866"/>
  </r>
  <r>
    <n v="5478"/>
    <s v="F0100 - CORPORATE FUND"/>
    <s v="City Development"/>
    <x v="0"/>
    <s v="A0005 - SALARIES AND WAGES - ON PAYROLL"/>
    <x v="17"/>
    <s v="3EF80AD5153430"/>
    <s v=" SCHMITZ, MATTHEW M"/>
    <x v="3"/>
    <s v="D54"/>
    <s v="F0100"/>
    <s v="A0005"/>
    <s v="T9679"/>
    <s v="3EF80AD515343020234786050210928568"/>
  </r>
  <r>
    <n v="4534"/>
    <s v="F0100 - CORPORATE FUND"/>
    <s v="City Development"/>
    <x v="1"/>
    <s v="A0005 - SALARIES AND WAGES - ON PAYROLL"/>
    <x v="5"/>
    <s v="B1DCE5C3C3A044"/>
    <s v=" WEBER, MICHAEL P"/>
    <x v="6"/>
    <s v="D21"/>
    <s v="F0100"/>
    <s v="A0005"/>
    <s v="T0313"/>
    <s v="B1DCE5C3C3A04420235468118001924185"/>
  </r>
  <r>
    <n v="3055.5"/>
    <s v="F0100 - CORPORATE FUND"/>
    <s v="City Development"/>
    <x v="1"/>
    <s v="A0005 - SALARIES AND WAGES - ON PAYROLL"/>
    <x v="18"/>
    <s v="2CFFBB6B41AD02"/>
    <s v=" HILL, SAMANTHA"/>
    <x v="6"/>
    <s v="D21"/>
    <s v="F0100"/>
    <s v="A0005"/>
    <s v="T0802"/>
    <s v="2CFFBB6B41AD0220235801464975284264"/>
  </r>
  <r>
    <n v="6111.5"/>
    <s v="F0100 - CORPORATE FUND"/>
    <s v="City Development"/>
    <x v="1"/>
    <s v="A0005 - SALARIES AND WAGES - ON PAYROLL"/>
    <x v="19"/>
    <s v="F9DD478927ED38"/>
    <s v=" HAMILTON, NATASHA A"/>
    <x v="6"/>
    <s v="D21"/>
    <s v="F0100"/>
    <s v="A0005"/>
    <s v="T9813"/>
    <s v="F9DD478927ED3820235688954116539863"/>
  </r>
  <r>
    <n v="546.70000000000005"/>
    <s v="F0100 - CORPORATE FUND"/>
    <s v="City Development"/>
    <x v="1"/>
    <s v="A0005 - SALARIES AND WAGES - ON PAYROLL"/>
    <x v="20"/>
    <s v="9267D826BCE759"/>
    <s v=" MCKEE, ZACHARIA G"/>
    <x v="6"/>
    <s v="D21"/>
    <s v="F0100"/>
    <s v="A0005"/>
    <s v="T0404"/>
    <s v="9267D826BCE75920235437052817851953"/>
  </r>
  <r>
    <n v="-1378.03"/>
    <s v="F0100 - CORPORATE FUND"/>
    <s v="City Development"/>
    <x v="0"/>
    <s v="A0005 - SALARIES AND WAGES - ON PAYROLL"/>
    <x v="16"/>
    <s v="23815B41C0825F"/>
    <s v=" MORENO, BRIAN K"/>
    <x v="6"/>
    <s v="D54"/>
    <s v="F0100"/>
    <s v="A0005"/>
    <s v="T1912"/>
    <s v="23815B41C0825F20235958462339872151"/>
  </r>
  <r>
    <n v="3095"/>
    <s v="F0100 - CORPORATE FUND"/>
    <s v="City Development"/>
    <x v="0"/>
    <s v="A0005 - SALARIES AND WAGES - ON PAYROLL"/>
    <x v="0"/>
    <s v="396687DBE15512"/>
    <s v=" LIANG, SUNNY S"/>
    <x v="6"/>
    <s v="D54"/>
    <s v="F0100"/>
    <s v="A0005"/>
    <s v="T0109"/>
    <s v="396687DBE1551220235377698839693250"/>
  </r>
  <r>
    <n v="3394.5"/>
    <s v="F0100 - CORPORATE FUND"/>
    <s v="City Development"/>
    <x v="0"/>
    <s v="A0005 - SALARIES AND WAGES - ON PAYROLL"/>
    <x v="21"/>
    <s v="65FD61E57B6B1E"/>
    <s v=" MORGAN, LASHONDA L"/>
    <x v="6"/>
    <s v="D54"/>
    <s v="F0100"/>
    <s v="A0005"/>
    <s v="T0308"/>
    <s v="65FD61E57B6B1E20235797622725877600"/>
  </r>
  <r>
    <n v="4534"/>
    <s v="F0100 - CORPORATE FUND"/>
    <s v="City Development"/>
    <x v="0"/>
    <s v="A0005 - SALARIES AND WAGES - ON PAYROLL"/>
    <x v="5"/>
    <s v="0A30E99A8A025B"/>
    <s v=" ALBERT, DAMIAN K"/>
    <x v="6"/>
    <s v="D54"/>
    <s v="F0100"/>
    <s v="A0005"/>
    <s v="T0313"/>
    <s v="0A30E99A8A025B20235203201728060055"/>
  </r>
  <r>
    <n v="5212"/>
    <s v="F0100 - CORPORATE FUND"/>
    <s v="City Development"/>
    <x v="0"/>
    <s v="A0005 - SALARIES AND WAGES - ON PAYROLL"/>
    <x v="22"/>
    <s v="513015410636C7"/>
    <s v=" HENRY, AMY L"/>
    <x v="6"/>
    <s v="D54"/>
    <s v="F0100"/>
    <s v="A0005"/>
    <s v="T0361"/>
    <s v="513015410636C72023528004163358235"/>
  </r>
  <r>
    <n v="3250"/>
    <s v="F0100 - CORPORATE FUND"/>
    <s v="City Development"/>
    <x v="0"/>
    <s v="A0005 - SALARIES AND WAGES - ON PAYROLL"/>
    <x v="2"/>
    <s v="C14B6B30C583A3"/>
    <s v=" HOLLAND, WILLIAM R"/>
    <x v="6"/>
    <s v="D54"/>
    <s v="F0100"/>
    <s v="A0005"/>
    <s v="T1405"/>
    <s v="C14B6B30C583A320235796557712109903"/>
  </r>
  <r>
    <n v="3245.5"/>
    <s v="F0100 - CORPORATE FUND"/>
    <s v="City Development"/>
    <x v="0"/>
    <s v="A0005 - SALARIES AND WAGES - ON PAYROLL"/>
    <x v="23"/>
    <s v="CB69C9459F68D3"/>
    <s v=" MUHAMMAD, FARIDUDDIN M"/>
    <x v="6"/>
    <s v="D54"/>
    <s v="F0100"/>
    <s v="A0005"/>
    <s v="T1984"/>
    <s v="CB69C9459F68D320235334281582114855"/>
  </r>
  <r>
    <n v="4064.5"/>
    <s v="F0100 - CORPORATE FUND"/>
    <s v="City Development"/>
    <x v="1"/>
    <s v="A0005 - SALARIES AND WAGES - ON PAYROLL"/>
    <x v="24"/>
    <s v="C0941D522C8AA2"/>
    <s v=" JOHNSON, AARON M"/>
    <x v="7"/>
    <s v="D21"/>
    <s v="F0100"/>
    <s v="A0005"/>
    <s v="T0310"/>
    <s v="C0941D522C8AA220236284976195573499"/>
  </r>
  <r>
    <n v="4229.5"/>
    <s v="F0100 - CORPORATE FUND"/>
    <s v="City Development"/>
    <x v="1"/>
    <s v="A0005 - SALARIES AND WAGES - ON PAYROLL"/>
    <x v="24"/>
    <s v="F3EF8F82678221"/>
    <s v=" DURHAM, DESTINY L"/>
    <x v="7"/>
    <s v="D21"/>
    <s v="F0100"/>
    <s v="A0005"/>
    <s v="T0310"/>
    <s v="F3EF8F826782212023632243522923378"/>
  </r>
  <r>
    <n v="6111.5"/>
    <s v="F0100 - CORPORATE FUND"/>
    <s v="City Development"/>
    <x v="1"/>
    <s v="A0005 - SALARIES AND WAGES - ON PAYROLL"/>
    <x v="19"/>
    <s v="F9DD478927ED38"/>
    <s v=" HAMILTON, NATASHA A"/>
    <x v="7"/>
    <s v="D21"/>
    <s v="F0100"/>
    <s v="A0005"/>
    <s v="T9813"/>
    <s v="F9DD478927ED3820236469527392481897"/>
  </r>
  <r>
    <n v="4534"/>
    <s v="F0100 - CORPORATE FUND"/>
    <s v="City Development"/>
    <x v="0"/>
    <s v="A0005 - SALARIES AND WAGES - ON PAYROLL"/>
    <x v="5"/>
    <s v="541CC65F52A26C"/>
    <s v=" LAW, JOHN A"/>
    <x v="7"/>
    <s v="D54"/>
    <s v="F0100"/>
    <s v="A0005"/>
    <s v="T0313"/>
    <s v="541CC65F52A26C20236372194145188451"/>
  </r>
  <r>
    <n v="4134.5"/>
    <s v="F0100 - CORPORATE FUND"/>
    <s v="City Development"/>
    <x v="0"/>
    <s v="A0005 - SALARIES AND WAGES - ON PAYROLL"/>
    <x v="15"/>
    <s v="4450854AC2FA16"/>
    <s v=" CANNON, ANGELA"/>
    <x v="7"/>
    <s v="D54"/>
    <s v="F0100"/>
    <s v="A0005"/>
    <s v="T0381"/>
    <s v="4450854AC2FA1620236615115433012366"/>
  </r>
  <r>
    <n v="2791"/>
    <s v="F0100 - CORPORATE FUND"/>
    <s v="City Development"/>
    <x v="0"/>
    <s v="A0005 - SALARIES AND WAGES - ON PAYROLL"/>
    <x v="7"/>
    <s v="BB2CA722F12B5C"/>
    <s v=" RICE, CARL M"/>
    <x v="7"/>
    <s v="D54"/>
    <s v="F0100"/>
    <s v="A0005"/>
    <s v="T1293"/>
    <s v="BB2CA722F12B5C20236555409024020609"/>
  </r>
  <r>
    <n v="5212"/>
    <s v="F0100 - CORPORATE FUND"/>
    <s v="City Development"/>
    <x v="0"/>
    <s v="A0005 - SALARIES AND WAGES - ON PAYROLL"/>
    <x v="25"/>
    <s v="B15F2BF1B8191D"/>
    <s v=" ROBLES, ANNA M"/>
    <x v="7"/>
    <s v="D54"/>
    <s v="F0100"/>
    <s v="A0005"/>
    <s v="T1299"/>
    <s v="B15F2BF1B8191D20236821802842809754"/>
  </r>
  <r>
    <n v="3250"/>
    <s v="F0100 - CORPORATE FUND"/>
    <s v="City Development"/>
    <x v="0"/>
    <s v="A0005 - SALARIES AND WAGES - ON PAYROLL"/>
    <x v="2"/>
    <s v="C14B6B30C583A3"/>
    <s v=" HOLLAND, WILLIAM R"/>
    <x v="7"/>
    <s v="D54"/>
    <s v="F0100"/>
    <s v="A0005"/>
    <s v="T1405"/>
    <s v="C14B6B30C583A320236863931872583552"/>
  </r>
  <r>
    <n v="2783.5"/>
    <s v="F0100 - CORPORATE FUND"/>
    <s v="City Development"/>
    <x v="0"/>
    <s v="A0005 - SALARIES AND WAGES - ON PAYROLL"/>
    <x v="16"/>
    <s v="630B0B07D3A05D"/>
    <s v=" BATSON, ELAINE S"/>
    <x v="7"/>
    <s v="D54"/>
    <s v="F0100"/>
    <s v="A0005"/>
    <s v="T1912"/>
    <s v="630B0B07D3A05D20236253274886166108"/>
  </r>
  <r>
    <n v="3946"/>
    <s v="F0100 - CORPORATE FUND"/>
    <s v="City Development"/>
    <x v="0"/>
    <s v="A0005 - SALARIES AND WAGES - ON PAYROLL"/>
    <x v="16"/>
    <s v="74B174B46488E8"/>
    <s v=" GUSTAFSON, MEG E"/>
    <x v="7"/>
    <s v="D54"/>
    <s v="F0100"/>
    <s v="A0005"/>
    <s v="T1912"/>
    <s v="74B174B46488E820236100681642715556"/>
  </r>
  <r>
    <n v="4536"/>
    <s v="F0100 - CORPORATE FUND"/>
    <s v="City Development"/>
    <x v="0"/>
    <s v="A0005 - SALARIES AND WAGES - ON PAYROLL"/>
    <x v="11"/>
    <s v="197E06974C23C4"/>
    <s v=" ROBACK, BRADLEY G"/>
    <x v="7"/>
    <s v="D54"/>
    <s v="F0100"/>
    <s v="A0005"/>
    <s v="T1985"/>
    <s v="197E06974C23C420236468024885715701"/>
  </r>
  <r>
    <n v="4271.5"/>
    <s v="F0100 - CORPORATE FUND"/>
    <s v="City Development"/>
    <x v="0"/>
    <s v="A0005 - SALARIES AND WAGES - ON PAYROLL"/>
    <x v="12"/>
    <s v="6AE3E9CF0CE168"/>
    <s v=" OCIEPKA, LESZEK"/>
    <x v="7"/>
    <s v="D54"/>
    <s v="F0100"/>
    <s v="A0005"/>
    <s v="T5431"/>
    <s v="6AE3E9CF0CE16820236200631848957723"/>
  </r>
  <r>
    <n v="5816.5"/>
    <s v="F0100 - CORPORATE FUND"/>
    <s v="City Development"/>
    <x v="0"/>
    <s v="A0005 - SALARIES AND WAGES - ON PAYROLL"/>
    <x v="26"/>
    <s v="8DF8DD37E2FDC3"/>
    <s v=" MURPHEY, THOMAS P"/>
    <x v="7"/>
    <s v="D54"/>
    <s v="F0100"/>
    <s v="A0005"/>
    <s v="T9654"/>
    <s v="8DF8DD37E2FDC320236475960738484286"/>
  </r>
  <r>
    <n v="4229.5"/>
    <s v="F0100 - CORPORATE FUND"/>
    <s v="City Development"/>
    <x v="1"/>
    <s v="A0005 - SALARIES AND WAGES - ON PAYROLL"/>
    <x v="24"/>
    <s v="0CE7E5BE6A6E31"/>
    <s v=" MUNGIN, WHITNI E"/>
    <x v="8"/>
    <s v="D21"/>
    <s v="F0100"/>
    <s v="A0005"/>
    <s v="T0310"/>
    <s v="0CE7E5BE6A6E3120237272742156082887"/>
  </r>
  <r>
    <n v="3902.5"/>
    <s v="F0100 - CORPORATE FUND"/>
    <s v="City Development"/>
    <x v="0"/>
    <s v="A0005 - SALARIES AND WAGES - ON PAYROLL"/>
    <x v="1"/>
    <s v="90D4F9839B1EE3"/>
    <s v=" GRAYER, SHELIA D"/>
    <x v="8"/>
    <s v="D54"/>
    <s v="F0100"/>
    <s v="A0005"/>
    <s v="T0303"/>
    <s v="90D4F9839B1EE320237690857492138441"/>
  </r>
  <r>
    <n v="3394.5"/>
    <s v="F0100 - CORPORATE FUND"/>
    <s v="City Development"/>
    <x v="0"/>
    <s v="A0005 - SALARIES AND WAGES - ON PAYROLL"/>
    <x v="21"/>
    <s v="65FD61E57B6B1E"/>
    <s v=" MORGAN, LASHONDA L"/>
    <x v="8"/>
    <s v="D54"/>
    <s v="F0100"/>
    <s v="A0005"/>
    <s v="T0308"/>
    <s v="65FD61E57B6B1E20237510193819739962"/>
  </r>
  <r>
    <n v="4534"/>
    <s v="F0100 - CORPORATE FUND"/>
    <s v="City Development"/>
    <x v="0"/>
    <s v="A0005 - SALARIES AND WAGES - ON PAYROLL"/>
    <x v="5"/>
    <s v="87103CE3469AB6"/>
    <s v=" JIRASEK, GABRIELA C"/>
    <x v="8"/>
    <s v="D54"/>
    <s v="F0100"/>
    <s v="A0005"/>
    <s v="T0313"/>
    <s v="87103CE3469AB620237590392562806332"/>
  </r>
  <r>
    <n v="5152.5"/>
    <s v="F0100 - CORPORATE FUND"/>
    <s v="City Development"/>
    <x v="0"/>
    <s v="A0005 - SALARIES AND WAGES - ON PAYROLL"/>
    <x v="27"/>
    <s v="DDCDFA43F562C4"/>
    <s v=" RAMIREZ, CARLOS H"/>
    <x v="8"/>
    <s v="D54"/>
    <s v="F0100"/>
    <s v="A0005"/>
    <s v="T1291"/>
    <s v="DDCDFA43F562C420237206287315938752"/>
  </r>
  <r>
    <n v="2542.5"/>
    <s v="F0100 - CORPORATE FUND"/>
    <s v="City Development"/>
    <x v="0"/>
    <s v="A0005 - SALARIES AND WAGES - ON PAYROLL"/>
    <x v="7"/>
    <s v="D6F0FB9FC44E17"/>
    <s v=" NOLTER, ROBERT J"/>
    <x v="8"/>
    <s v="D54"/>
    <s v="F0100"/>
    <s v="A0005"/>
    <s v="T1293"/>
    <s v="D6F0FB9FC44E1720237349922751767571"/>
  </r>
  <r>
    <n v="1738.79"/>
    <s v="F0100 - CORPORATE FUND"/>
    <s v="Public Safety"/>
    <x v="3"/>
    <s v="A0020 - OVERTIME"/>
    <x v="28"/>
    <s v="BCA6F6764655B9"/>
    <s v=" RICHKO JR, ANTHONY E"/>
    <x v="9"/>
    <s v="D59"/>
    <s v="F0100"/>
    <s v="A0020"/>
    <s v="T8801"/>
    <s v="BCA6F6764655B9202324855704774357036"/>
  </r>
  <r>
    <n v="2783.5"/>
    <s v="F0100 - CORPORATE FUND"/>
    <s v="City Development"/>
    <x v="0"/>
    <s v="A0005 - SALARIES AND WAGES - ON PAYROLL"/>
    <x v="29"/>
    <s v="D55E0AE91386C5"/>
    <s v=" ALNASER, ANNA Y"/>
    <x v="8"/>
    <s v="D54"/>
    <s v="F0100"/>
    <s v="A0005"/>
    <s v="T1310"/>
    <s v="D55E0AE91386C520237554585713164047"/>
  </r>
  <r>
    <n v="4274"/>
    <s v="F0100 - CORPORATE FUND"/>
    <s v="City Development"/>
    <x v="0"/>
    <s v="A0005 - SALARIES AND WAGES - ON PAYROLL"/>
    <x v="2"/>
    <s v="17BE1C79346928"/>
    <s v=" PATE, ONEIDA R"/>
    <x v="8"/>
    <s v="D54"/>
    <s v="F0100"/>
    <s v="A0005"/>
    <s v="T1405"/>
    <s v="17BE1C7934692820237325957532499951"/>
  </r>
  <r>
    <n v="2934.5"/>
    <s v="F0100 - CORPORATE FUND"/>
    <s v="City Development"/>
    <x v="0"/>
    <s v="A0005 - SALARIES AND WAGES - ON PAYROLL"/>
    <x v="3"/>
    <s v="7493FE5A25A088"/>
    <s v=" TAYLOR, TYLER H"/>
    <x v="8"/>
    <s v="D54"/>
    <s v="F0100"/>
    <s v="A0005"/>
    <s v="T5402"/>
    <s v="7493FE5A25A08820237379586312321507"/>
  </r>
  <r>
    <n v="5317"/>
    <s v="F0100 - CORPORATE FUND"/>
    <s v="City Development"/>
    <x v="0"/>
    <s v="A0005 - SALARIES AND WAGES - ON PAYROLL"/>
    <x v="17"/>
    <s v="CB66CA7BBB392E"/>
    <s v=" ROUBIK, CYNTHIA J"/>
    <x v="8"/>
    <s v="D54"/>
    <s v="F0100"/>
    <s v="A0005"/>
    <s v="T9679"/>
    <s v="CB66CA7BBB392E20237390786019826708"/>
  </r>
  <r>
    <n v="3945"/>
    <s v="F0100 - CORPORATE FUND"/>
    <s v="City Development"/>
    <x v="1"/>
    <s v="A0005 - SALARIES AND WAGES - ON PAYROLL"/>
    <x v="8"/>
    <s v="1AFFC8FE80ACB6"/>
    <s v=" NELSON, GABRIELLA M"/>
    <x v="10"/>
    <s v="D21"/>
    <s v="F0100"/>
    <s v="A0005"/>
    <s v="T1430"/>
    <s v="1AFFC8FE80ACB620238575010423298597"/>
  </r>
  <r>
    <n v="3398"/>
    <s v="F0100 - CORPORATE FUND"/>
    <s v="City Development"/>
    <x v="1"/>
    <s v="A0005 - SALARIES AND WAGES - ON PAYROLL"/>
    <x v="30"/>
    <s v="D4A27913C9EEDD"/>
    <s v=" COLLINS, KATRINA M"/>
    <x v="10"/>
    <s v="D21"/>
    <s v="F0100"/>
    <s v="A0005"/>
    <s v="T1437"/>
    <s v="D4A27913C9EEDD20238578967774157889"/>
  </r>
  <r>
    <n v="4536"/>
    <s v="F0100 - CORPORATE FUND"/>
    <s v="City Development"/>
    <x v="0"/>
    <s v="A0005 - SALARIES AND WAGES - ON PAYROLL"/>
    <x v="31"/>
    <s v="FD79F1E16BD724"/>
    <s v=" RESA, VICTOR T"/>
    <x v="10"/>
    <s v="D54"/>
    <s v="F0100"/>
    <s v="A0005"/>
    <s v="T1290"/>
    <s v="FD79F1E16BD72420238189854018916055"/>
  </r>
  <r>
    <n v="4043"/>
    <s v="F0100 - CORPORATE FUND"/>
    <s v="City Development"/>
    <x v="0"/>
    <s v="A0005 - SALARIES AND WAGES - ON PAYROLL"/>
    <x v="27"/>
    <s v="D85FA8CFF69D28"/>
    <s v=" KHALIQUE, FARHAN A"/>
    <x v="10"/>
    <s v="D54"/>
    <s v="F0100"/>
    <s v="A0005"/>
    <s v="T1291"/>
    <s v="D85FA8CFF69D2820238143822330444612"/>
  </r>
  <r>
    <n v="2791"/>
    <s v="F0100 - CORPORATE FUND"/>
    <s v="City Development"/>
    <x v="0"/>
    <s v="A0005 - SALARIES AND WAGES - ON PAYROLL"/>
    <x v="7"/>
    <s v="BB2CA722F12B5C"/>
    <s v=" RICE, CARL M"/>
    <x v="10"/>
    <s v="D54"/>
    <s v="F0100"/>
    <s v="A0005"/>
    <s v="T1293"/>
    <s v="BB2CA722F12B5C20238106831143182751"/>
  </r>
  <r>
    <n v="4444.5"/>
    <s v="F0100 - CORPORATE FUND"/>
    <s v="City Development"/>
    <x v="0"/>
    <s v="A0005 - SALARIES AND WAGES - ON PAYROLL"/>
    <x v="32"/>
    <s v="70DEDA4C2BBA80"/>
    <s v=" KLAIBER, DANIEL R"/>
    <x v="10"/>
    <s v="D54"/>
    <s v="F0100"/>
    <s v="A0005"/>
    <s v="T1441"/>
    <s v="70DEDA4C2BBA8020238587440627296735"/>
  </r>
  <r>
    <n v="4274"/>
    <s v="F0100 - CORPORATE FUND"/>
    <s v="City Development"/>
    <x v="0"/>
    <s v="A0005 - SALARIES AND WAGES - ON PAYROLL"/>
    <x v="4"/>
    <s v="9B82270E9FBFC9"/>
    <s v=" DAYE, RONALD J"/>
    <x v="10"/>
    <s v="D54"/>
    <s v="F0100"/>
    <s v="A0005"/>
    <s v="T5432"/>
    <s v="9B82270E9FBFC920238783115850861644"/>
  </r>
  <r>
    <n v="5816.5"/>
    <s v="F0100 - CORPORATE FUND"/>
    <s v="City Development"/>
    <x v="0"/>
    <s v="A0005 - SALARIES AND WAGES - ON PAYROLL"/>
    <x v="26"/>
    <s v="8DF8DD37E2FDC3"/>
    <s v=" MURPHEY, THOMAS P"/>
    <x v="10"/>
    <s v="D54"/>
    <s v="F0100"/>
    <s v="A0005"/>
    <s v="T9654"/>
    <s v="8DF8DD37E2FDC320238667996374234155"/>
  </r>
  <r>
    <n v="5478"/>
    <s v="F0100 - CORPORATE FUND"/>
    <s v="City Development"/>
    <x v="0"/>
    <s v="A0005 - SALARIES AND WAGES - ON PAYROLL"/>
    <x v="17"/>
    <s v="3EF80AD5153430"/>
    <s v=" SCHMITZ, MATTHEW M"/>
    <x v="10"/>
    <s v="D54"/>
    <s v="F0100"/>
    <s v="A0005"/>
    <s v="T9679"/>
    <s v="3EF80AD515343020238890320861238432"/>
  </r>
  <r>
    <n v="4534"/>
    <s v="F0100 - CORPORATE FUND"/>
    <s v="City Development"/>
    <x v="1"/>
    <s v="A0005 - SALARIES AND WAGES - ON PAYROLL"/>
    <x v="5"/>
    <s v="B1DCE5C3C3A044"/>
    <s v=" WEBER, MICHAEL P"/>
    <x v="4"/>
    <s v="D21"/>
    <s v="F0100"/>
    <s v="A0005"/>
    <s v="T0313"/>
    <s v="B1DCE5C3C3A04420239765691591455897"/>
  </r>
  <r>
    <n v="2206.5"/>
    <s v="F0100 - CORPORATE FUND"/>
    <s v="City Development"/>
    <x v="1"/>
    <s v="A0005 - SALARIES AND WAGES - ON PAYROLL"/>
    <x v="33"/>
    <s v="B997D21DD188D1"/>
    <s v=" WINDMON, HEATHER E"/>
    <x v="4"/>
    <s v="D21"/>
    <s v="F0100"/>
    <s v="A0005"/>
    <s v="T0366"/>
    <s v="B997D21DD188D120239609786536368857"/>
  </r>
  <r>
    <n v="4579.5"/>
    <s v="F0100 - CORPORATE FUND"/>
    <s v="City Development"/>
    <x v="0"/>
    <s v="A0005 - SALARIES AND WAGES - ON PAYROLL"/>
    <x v="5"/>
    <s v="8D033298A9797A"/>
    <s v=" RADZEVICH, NANCY M"/>
    <x v="4"/>
    <s v="D54"/>
    <s v="F0100"/>
    <s v="A0005"/>
    <s v="T0313"/>
    <s v="8D033298A9797A20239877376232028578"/>
  </r>
  <r>
    <n v="2828"/>
    <s v="F0100 - CORPORATE FUND"/>
    <s v="City Development"/>
    <x v="0"/>
    <s v="A0005 - SALARIES AND WAGES - ON PAYROLL"/>
    <x v="34"/>
    <s v="32EEDD57B92F73"/>
    <s v=" RODRIGUEZ, VELIA C"/>
    <x v="4"/>
    <s v="D54"/>
    <s v="F0100"/>
    <s v="A0005"/>
    <s v="T0801"/>
    <s v="32EEDD57B92F7320239260267369094252"/>
  </r>
  <r>
    <n v="4541.5"/>
    <s v="F0100 - CORPORATE FUND"/>
    <s v="City Development"/>
    <x v="0"/>
    <s v="A0005 - SALARIES AND WAGES - ON PAYROLL"/>
    <x v="7"/>
    <s v="AF76F191B02EDD"/>
    <s v=" GAETA, JOSE O"/>
    <x v="4"/>
    <s v="D54"/>
    <s v="F0100"/>
    <s v="A0005"/>
    <s v="T1293"/>
    <s v="AF76F191B02EDD20239106244295749156"/>
  </r>
  <r>
    <n v="3160.5"/>
    <s v="F0100 - CORPORATE FUND"/>
    <s v="City Development"/>
    <x v="0"/>
    <s v="A0005 - SALARIES AND WAGES - ON PAYROLL"/>
    <x v="2"/>
    <s v="4146A18BC5805C"/>
    <s v=" CORPUZ, BENJAMIN A"/>
    <x v="4"/>
    <s v="D54"/>
    <s v="F0100"/>
    <s v="A0005"/>
    <s v="T1405"/>
    <s v="4146A18BC5805C20239235448401965350"/>
  </r>
  <r>
    <n v="664.99"/>
    <s v="F0100 - CORPORATE FUND"/>
    <s v="Public Safety"/>
    <x v="2"/>
    <s v="A0020 - OVERTIME"/>
    <x v="14"/>
    <s v="CA4319197CF51D"/>
    <s v=" ZHENG, CHEN Q"/>
    <x v="0"/>
    <s v="D57"/>
    <s v="F0100"/>
    <s v="A0020"/>
    <s v="T9161"/>
    <s v="CA4319197CF51D20231916858486782633"/>
  </r>
  <r>
    <n v="3166.5"/>
    <s v="F0100 - CORPORATE FUND"/>
    <s v="City Development"/>
    <x v="0"/>
    <s v="A0005 - SALARIES AND WAGES - ON PAYROLL"/>
    <x v="16"/>
    <s v="F3A7E2AE494905"/>
    <s v=" MARTINEZ, SAMIE"/>
    <x v="4"/>
    <s v="D54"/>
    <s v="F0100"/>
    <s v="A0005"/>
    <s v="T1912"/>
    <s v="F3A7E2AE49490520239458356207826026"/>
  </r>
  <r>
    <n v="1557.38"/>
    <s v="F0100 - CORPORATE FUND"/>
    <s v="Public Safety"/>
    <x v="2"/>
    <s v="A0020 - OVERTIME"/>
    <x v="14"/>
    <s v="241AE96B5E1AA2"/>
    <s v=" MURDOCH,  JASON J"/>
    <x v="10"/>
    <s v="D57"/>
    <s v="F0100"/>
    <s v="A0020"/>
    <s v="T9161"/>
    <s v="241AE96B5E1AA220258953830382837370"/>
  </r>
  <r>
    <n v="4330"/>
    <s v="F0100 - CORPORATE FUND"/>
    <s v="City Development"/>
    <x v="0"/>
    <s v="A0005 - SALARIES AND WAGES - ON PAYROLL"/>
    <x v="16"/>
    <s v="B070D8D0C55BEE"/>
    <s v=" ORTEGA, VICTORIA L"/>
    <x v="4"/>
    <s v="D54"/>
    <s v="F0100"/>
    <s v="A0005"/>
    <s v="T1912"/>
    <s v="B070D8D0C55BEE20239597653896579936"/>
  </r>
  <r>
    <n v="4750.5"/>
    <s v="F0100 - CORPORATE FUND"/>
    <s v="City Development"/>
    <x v="0"/>
    <s v="A0005 - SALARIES AND WAGES - ON PAYROLL"/>
    <x v="11"/>
    <s v="197E06974C23C4"/>
    <s v=" ROBACK, BRADLEY G"/>
    <x v="4"/>
    <s v="D54"/>
    <s v="F0100"/>
    <s v="A0005"/>
    <s v="T1985"/>
    <s v="197E06974C23C420239685947632103949"/>
  </r>
  <r>
    <n v="3113"/>
    <s v="F0100 - CORPORATE FUND"/>
    <s v="City Development"/>
    <x v="0"/>
    <s v="A0005 - SALARIES AND WAGES - ON PAYROLL"/>
    <x v="3"/>
    <s v="7493FE5A25A088"/>
    <s v=" TAYLOR, TYLER H"/>
    <x v="4"/>
    <s v="D54"/>
    <s v="F0100"/>
    <s v="A0005"/>
    <s v="T5402"/>
    <s v="7493FE5A25A08820239664681460093093"/>
  </r>
  <r>
    <n v="4229.5"/>
    <s v="F0100 - CORPORATE FUND"/>
    <s v="City Development"/>
    <x v="1"/>
    <s v="A0005 - SALARIES AND WAGES - ON PAYROLL"/>
    <x v="24"/>
    <s v="0CE7E5BE6A6E31"/>
    <s v=" MUNGIN, WHITNI E"/>
    <x v="11"/>
    <s v="D21"/>
    <s v="F0100"/>
    <s v="A0005"/>
    <s v="T0310"/>
    <s v="0CE7E5BE6A6E31202310131779795660590"/>
  </r>
  <r>
    <n v="6111.5"/>
    <s v="F0100 - CORPORATE FUND"/>
    <s v="City Development"/>
    <x v="1"/>
    <s v="A0005 - SALARIES AND WAGES - ON PAYROLL"/>
    <x v="19"/>
    <s v="F9DD478927ED38"/>
    <s v=" HAMILTON, NATASHA A"/>
    <x v="11"/>
    <s v="D21"/>
    <s v="F0100"/>
    <s v="A0005"/>
    <s v="T9813"/>
    <s v="F9DD478927ED38202310370515909270534"/>
  </r>
  <r>
    <n v="5212"/>
    <s v="F0100 - CORPORATE FUND"/>
    <s v="City Development"/>
    <x v="0"/>
    <s v="A0005 - SALARIES AND WAGES - ON PAYROLL"/>
    <x v="6"/>
    <s v="B8E59990646B62"/>
    <s v=" BUDNIK, ALESSANDRA C"/>
    <x v="11"/>
    <s v="D54"/>
    <s v="F0100"/>
    <s v="A0005"/>
    <s v="T0118"/>
    <s v="B8E59990646B62202310844887281279823"/>
  </r>
  <r>
    <n v="4064.5"/>
    <s v="F0100 - CORPORATE FUND"/>
    <s v="City Development"/>
    <x v="1"/>
    <s v="A0005 - SALARIES AND WAGES - ON PAYROLL"/>
    <x v="24"/>
    <s v="C0941D522C8AA2"/>
    <s v=" JOHNSON, AARON M"/>
    <x v="0"/>
    <s v="D21"/>
    <s v="F0100"/>
    <s v="A0005"/>
    <s v="T0310"/>
    <s v="C0941D522C8AA220231223537921004955"/>
  </r>
  <r>
    <n v="4229.5"/>
    <s v="F0100 - CORPORATE FUND"/>
    <s v="City Development"/>
    <x v="1"/>
    <s v="A0005 - SALARIES AND WAGES - ON PAYROLL"/>
    <x v="24"/>
    <s v="F3EF8F82678221"/>
    <s v=" DURHAM, DESTINY L"/>
    <x v="0"/>
    <s v="D21"/>
    <s v="F0100"/>
    <s v="A0005"/>
    <s v="T0310"/>
    <s v="F3EF8F8267822120231415441315447343"/>
  </r>
  <r>
    <n v="3607.5"/>
    <s v="F0100 - CORPORATE FUND"/>
    <s v="City Development"/>
    <x v="1"/>
    <s v="A0005 - SALARIES AND WAGES - ON PAYROLL"/>
    <x v="8"/>
    <s v="1AFFC8FE80ACB6"/>
    <s v=" NELSON, GABRIELLA M"/>
    <x v="0"/>
    <s v="D21"/>
    <s v="F0100"/>
    <s v="A0005"/>
    <s v="T1430"/>
    <s v="1AFFC8FE80ACB620231860810374937062"/>
  </r>
  <r>
    <n v="3095"/>
    <s v="F0100 - CORPORATE FUND"/>
    <s v="City Development"/>
    <x v="0"/>
    <s v="A0005 - SALARIES AND WAGES - ON PAYROLL"/>
    <x v="0"/>
    <s v="396687DBE15512"/>
    <s v=" LIANG, SUNNY S"/>
    <x v="0"/>
    <s v="D54"/>
    <s v="F0100"/>
    <s v="A0005"/>
    <s v="T0109"/>
    <s v="396687DBE1551220231646795093306382"/>
  </r>
  <r>
    <n v="4534"/>
    <s v="F0100 - CORPORATE FUND"/>
    <s v="City Development"/>
    <x v="0"/>
    <s v="A0005 - SALARIES AND WAGES - ON PAYROLL"/>
    <x v="5"/>
    <s v="CB3769E02D0B31"/>
    <s v=" BARTLETT, KYLE W"/>
    <x v="0"/>
    <s v="D54"/>
    <s v="F0100"/>
    <s v="A0005"/>
    <s v="T0313"/>
    <s v="CB3769E02D0B3120231271158504087964"/>
  </r>
  <r>
    <n v="4280.5"/>
    <s v="F0100 - CORPORATE FUND"/>
    <s v="City Development"/>
    <x v="0"/>
    <s v="A0005 - SALARIES AND WAGES - ON PAYROLL"/>
    <x v="7"/>
    <s v="9A02E547CCA939"/>
    <s v=" HILL, JANICE D"/>
    <x v="0"/>
    <s v="D54"/>
    <s v="F0100"/>
    <s v="A0005"/>
    <s v="T1293"/>
    <s v="9A02E547CCA93920231586919804171111"/>
  </r>
  <r>
    <n v="3166.5"/>
    <s v="F0100 - CORPORATE FUND"/>
    <s v="City Development"/>
    <x v="0"/>
    <s v="A0005 - SALARIES AND WAGES - ON PAYROLL"/>
    <x v="16"/>
    <s v="6D3FFD791FF9FB"/>
    <s v=" VELAZQUEZ, JEANETTE"/>
    <x v="0"/>
    <s v="D54"/>
    <s v="F0100"/>
    <s v="A0005"/>
    <s v="T1912"/>
    <s v="6D3FFD791FF9FB20231188254862249989"/>
  </r>
  <r>
    <n v="5212"/>
    <s v="F0100 - CORPORATE FUND"/>
    <s v="City Development"/>
    <x v="0"/>
    <s v="A0005 - SALARIES AND WAGES - ON PAYROLL"/>
    <x v="35"/>
    <s v="50F8EE0864C0D0"/>
    <s v=" CURRY, NORA"/>
    <x v="0"/>
    <s v="D54"/>
    <s v="F0100"/>
    <s v="A0005"/>
    <s v="T3092"/>
    <s v="50F8EE0864C0D020231668440643490959"/>
  </r>
  <r>
    <n v="3340.5"/>
    <s v="F0100 - CORPORATE FUND"/>
    <s v="City Development"/>
    <x v="0"/>
    <s v="A0005 - SALARIES AND WAGES - ON PAYROLL"/>
    <x v="3"/>
    <s v="B03B858E2749B9"/>
    <s v=" RAMOS, JOYCE I"/>
    <x v="0"/>
    <s v="D54"/>
    <s v="F0100"/>
    <s v="A0005"/>
    <s v="T5402"/>
    <s v="B03B858E2749B92023185527688210747"/>
  </r>
  <r>
    <n v="5317"/>
    <s v="F0100 - CORPORATE FUND"/>
    <s v="City Development"/>
    <x v="0"/>
    <s v="A0005 - SALARIES AND WAGES - ON PAYROLL"/>
    <x v="17"/>
    <s v="82B04939FB8D7C"/>
    <s v=" GARCIA, GERARDO"/>
    <x v="0"/>
    <s v="D54"/>
    <s v="F0100"/>
    <s v="A0005"/>
    <s v="T9679"/>
    <s v="82B04939FB8D7C2023137987704369656"/>
  </r>
  <r>
    <n v="4064.5"/>
    <s v="F0100 - CORPORATE FUND"/>
    <s v="City Development"/>
    <x v="1"/>
    <s v="A0005 - SALARIES AND WAGES - ON PAYROLL"/>
    <x v="24"/>
    <s v="C0941D522C8AA2"/>
    <s v=" JOHNSON, AARON M"/>
    <x v="1"/>
    <s v="D21"/>
    <s v="F0100"/>
    <s v="A0005"/>
    <s v="T0310"/>
    <s v="C0941D522C8AA220232315843711266992"/>
  </r>
  <r>
    <n v="4766"/>
    <s v="F0100 - CORPORATE FUND"/>
    <s v="City Development"/>
    <x v="1"/>
    <s v="A0005 - SALARIES AND WAGES - ON PAYROLL"/>
    <x v="9"/>
    <s v="C28E727C8EB8AF"/>
    <s v=" HERTZ, DANIEL K"/>
    <x v="1"/>
    <s v="D21"/>
    <s v="F0100"/>
    <s v="A0005"/>
    <s v="T2901"/>
    <s v="C28E727C8EB8AF20232345957093065425"/>
  </r>
  <r>
    <n v="985.6"/>
    <s v="F0100 - CORPORATE FUND"/>
    <s v="City Development"/>
    <x v="1"/>
    <s v="A0005 - SALARIES AND WAGES - ON PAYROLL"/>
    <x v="20"/>
    <s v="9267D826BCE759"/>
    <s v=" MCKEE, ZACHARIA G"/>
    <x v="1"/>
    <s v="D21"/>
    <s v="F0100"/>
    <s v="A0005"/>
    <s v="T0404"/>
    <s v="9267D826BCE75920232187391325290696"/>
  </r>
  <r>
    <n v="3394.5"/>
    <s v="F0100 - CORPORATE FUND"/>
    <s v="City Development"/>
    <x v="0"/>
    <s v="A0005 - SALARIES AND WAGES - ON PAYROLL"/>
    <x v="21"/>
    <s v="65FD61E57B6B1E"/>
    <s v=" MORGAN, LASHONDA L"/>
    <x v="1"/>
    <s v="D54"/>
    <s v="F0100"/>
    <s v="A0005"/>
    <s v="T0308"/>
    <s v="65FD61E57B6B1E20232422473618415207"/>
  </r>
  <r>
    <n v="2665.5"/>
    <s v="F0100 - CORPORATE FUND"/>
    <s v="City Development"/>
    <x v="0"/>
    <s v="A0005 - SALARIES AND WAGES - ON PAYROLL"/>
    <x v="7"/>
    <s v="2CA9E6F50425D8"/>
    <s v=" PENA, ANTONIO G"/>
    <x v="1"/>
    <s v="D54"/>
    <s v="F0100"/>
    <s v="A0005"/>
    <s v="T1293"/>
    <s v="2CA9E6F50425D820232842175449445209"/>
  </r>
  <r>
    <n v="4280.5"/>
    <s v="F0100 - CORPORATE FUND"/>
    <s v="City Development"/>
    <x v="0"/>
    <s v="A0005 - SALARIES AND WAGES - ON PAYROLL"/>
    <x v="7"/>
    <s v="9A02E547CCA939"/>
    <s v=" HILL, JANICE D"/>
    <x v="1"/>
    <s v="D54"/>
    <s v="F0100"/>
    <s v="A0005"/>
    <s v="T1293"/>
    <s v="9A02E547CCA93920232547361063203240"/>
  </r>
  <r>
    <n v="3160.5"/>
    <s v="F0100 - CORPORATE FUND"/>
    <s v="City Development"/>
    <x v="0"/>
    <s v="A0005 - SALARIES AND WAGES - ON PAYROLL"/>
    <x v="2"/>
    <s v="4146A18BC5805C"/>
    <s v=" CORPUZ, BENJAMIN A"/>
    <x v="1"/>
    <s v="D54"/>
    <s v="F0100"/>
    <s v="A0005"/>
    <s v="T1405"/>
    <s v="4146A18BC5805C20232488611115051394"/>
  </r>
  <r>
    <n v="2708"/>
    <s v="F0100 - CORPORATE FUND"/>
    <s v="City Development"/>
    <x v="0"/>
    <s v="A0005 - SALARIES AND WAGES - ON PAYROLL"/>
    <x v="10"/>
    <s v="C57C9A2F1A1F8D"/>
    <s v=" THOMPSON, TAYLOR J"/>
    <x v="1"/>
    <s v="D54"/>
    <s v="F0100"/>
    <s v="A0005"/>
    <s v="T1602"/>
    <s v="C57C9A2F1A1F8D20232577852367612658"/>
  </r>
  <r>
    <n v="3360.5"/>
    <s v="F0100 - CORPORATE FUND"/>
    <s v="City Development"/>
    <x v="0"/>
    <s v="A0005 - SALARIES AND WAGES - ON PAYROLL"/>
    <x v="10"/>
    <s v="4C90C223CE8BDC"/>
    <s v=" MICHAELS, JAMES"/>
    <x v="1"/>
    <s v="D54"/>
    <s v="F0100"/>
    <s v="A0005"/>
    <s v="T1602"/>
    <s v="4C90C223CE8BDC20232734241512143353"/>
  </r>
  <r>
    <n v="3245.5"/>
    <s v="F0100 - CORPORATE FUND"/>
    <s v="City Development"/>
    <x v="0"/>
    <s v="A0005 - SALARIES AND WAGES - ON PAYROLL"/>
    <x v="23"/>
    <s v="CB69C9459F68D3"/>
    <s v=" MUHAMMAD, FARIDUDDIN M"/>
    <x v="1"/>
    <s v="D54"/>
    <s v="F0100"/>
    <s v="A0005"/>
    <s v="T1984"/>
    <s v="CB69C9459F68D320232751449506462898"/>
  </r>
  <r>
    <n v="5317"/>
    <s v="F0100 - CORPORATE FUND"/>
    <s v="City Development"/>
    <x v="0"/>
    <s v="A0005 - SALARIES AND WAGES - ON PAYROLL"/>
    <x v="17"/>
    <s v="82B04939FB8D7C"/>
    <s v=" GARCIA, GERARDO"/>
    <x v="1"/>
    <s v="D54"/>
    <s v="F0100"/>
    <s v="A0005"/>
    <s v="T9679"/>
    <s v="82B04939FB8D7C20232159550536882958"/>
  </r>
  <r>
    <n v="3467"/>
    <s v="F0100 - CORPORATE FUND"/>
    <s v="City Development"/>
    <x v="1"/>
    <s v="A0005 - SALARIES AND WAGES - ON PAYROLL"/>
    <x v="24"/>
    <s v="10A1E0D57AA009"/>
    <s v=" WHEATEN, KEISHA J"/>
    <x v="2"/>
    <s v="D21"/>
    <s v="F0100"/>
    <s v="A0005"/>
    <s v="T0310"/>
    <s v="10A1E0D57AA0092023359828702717109"/>
  </r>
  <r>
    <n v="365.75"/>
    <s v="F0100 - CORPORATE FUND"/>
    <s v="City Development"/>
    <x v="1"/>
    <s v="A0005 - SALARIES AND WAGES - ON PAYROLL"/>
    <x v="20"/>
    <s v="A8DBAEAB083E9C"/>
    <s v=" O'BRIEN, JACK F"/>
    <x v="2"/>
    <s v="D21"/>
    <s v="F0100"/>
    <s v="A0005"/>
    <s v="T0404"/>
    <s v="A8DBAEAB083E9C20233843730227330464"/>
  </r>
  <r>
    <n v="3160.5"/>
    <s v="F0100 - CORPORATE FUND"/>
    <s v="City Development"/>
    <x v="0"/>
    <s v="A0005 - SALARIES AND WAGES - ON PAYROLL"/>
    <x v="2"/>
    <s v="4146A18BC5805C"/>
    <s v=" CORPUZ, BENJAMIN A"/>
    <x v="2"/>
    <s v="D54"/>
    <s v="F0100"/>
    <s v="A0005"/>
    <s v="T1405"/>
    <s v="4146A18BC5805C20233273021595011387"/>
  </r>
  <r>
    <n v="5816.5"/>
    <s v="F0100 - CORPORATE FUND"/>
    <s v="City Development"/>
    <x v="0"/>
    <s v="A0005 - SALARIES AND WAGES - ON PAYROLL"/>
    <x v="17"/>
    <s v="91B9D86BE64118"/>
    <s v=" PLOMIN, KALPANA S"/>
    <x v="2"/>
    <s v="D54"/>
    <s v="F0100"/>
    <s v="A0005"/>
    <s v="T9679"/>
    <s v="91B9D86BE6411820233654709438233720"/>
  </r>
  <r>
    <n v="3467"/>
    <s v="F0100 - CORPORATE FUND"/>
    <s v="City Development"/>
    <x v="1"/>
    <s v="A0005 - SALARIES AND WAGES - ON PAYROLL"/>
    <x v="24"/>
    <s v="F76D859E13FC1F"/>
    <s v=" O'CONNOR, STEPHANIE K"/>
    <x v="3"/>
    <s v="D21"/>
    <s v="F0100"/>
    <s v="A0005"/>
    <s v="T0310"/>
    <s v="F76D859E13FC1F20234251621994367238"/>
  </r>
  <r>
    <n v="3467"/>
    <s v="F0100 - CORPORATE FUND"/>
    <s v="City Development"/>
    <x v="1"/>
    <s v="A0005 - SALARIES AND WAGES - ON PAYROLL"/>
    <x v="24"/>
    <s v="10A1E0D57AA009"/>
    <s v=" WHEATEN, KEISHA J"/>
    <x v="3"/>
    <s v="D21"/>
    <s v="F0100"/>
    <s v="A0005"/>
    <s v="T0310"/>
    <s v="10A1E0D57AA00920234662114918106375"/>
  </r>
  <r>
    <n v="4229.5"/>
    <s v="F0100 - CORPORATE FUND"/>
    <s v="City Development"/>
    <x v="1"/>
    <s v="A0005 - SALARIES AND WAGES - ON PAYROLL"/>
    <x v="24"/>
    <s v="0CE7E5BE6A6E31"/>
    <s v=" MUNGIN, WHITNI E"/>
    <x v="3"/>
    <s v="D21"/>
    <s v="F0100"/>
    <s v="A0005"/>
    <s v="T0310"/>
    <s v="0CE7E5BE6A6E3120234472235539688520"/>
  </r>
  <r>
    <n v="3607.5"/>
    <s v="F0100 - CORPORATE FUND"/>
    <s v="City Development"/>
    <x v="1"/>
    <s v="A0005 - SALARIES AND WAGES - ON PAYROLL"/>
    <x v="8"/>
    <s v="1AFFC8FE80ACB6"/>
    <s v=" NELSON, GABRIELLA M"/>
    <x v="3"/>
    <s v="D21"/>
    <s v="F0100"/>
    <s v="A0005"/>
    <s v="T1430"/>
    <s v="1AFFC8FE80ACB620234237183640283501"/>
  </r>
  <r>
    <n v="4766"/>
    <s v="F0100 - CORPORATE FUND"/>
    <s v="City Development"/>
    <x v="1"/>
    <s v="A0005 - SALARIES AND WAGES - ON PAYROLL"/>
    <x v="9"/>
    <s v="C28E727C8EB8AF"/>
    <s v=" HERTZ, DANIEL K"/>
    <x v="3"/>
    <s v="D21"/>
    <s v="F0100"/>
    <s v="A0005"/>
    <s v="T2901"/>
    <s v="C28E727C8EB8AF20234460415260199420"/>
  </r>
  <r>
    <n v="4280.5"/>
    <s v="F0100 - CORPORATE FUND"/>
    <s v="City Development"/>
    <x v="0"/>
    <s v="A0005 - SALARIES AND WAGES - ON PAYROLL"/>
    <x v="7"/>
    <s v="9A02E547CCA939"/>
    <s v=" HILL, JANICE D"/>
    <x v="3"/>
    <s v="D54"/>
    <s v="F0100"/>
    <s v="A0005"/>
    <s v="T1293"/>
    <s v="9A02E547CCA93920234169789335951593"/>
  </r>
  <r>
    <n v="3250"/>
    <s v="F0100 - CORPORATE FUND"/>
    <s v="City Development"/>
    <x v="0"/>
    <s v="A0005 - SALARIES AND WAGES - ON PAYROLL"/>
    <x v="2"/>
    <s v="C14B6B30C583A3"/>
    <s v=" HOLLAND, WILLIAM R"/>
    <x v="3"/>
    <s v="D54"/>
    <s v="F0100"/>
    <s v="A0005"/>
    <s v="T1405"/>
    <s v="C14B6B30C583A320234991233386054461"/>
  </r>
  <r>
    <n v="4274"/>
    <s v="F0100 - CORPORATE FUND"/>
    <s v="City Development"/>
    <x v="0"/>
    <s v="A0005 - SALARIES AND WAGES - ON PAYROLL"/>
    <x v="2"/>
    <s v="B656AB20A22A77"/>
    <s v=" RHYMES, MICHELE A"/>
    <x v="3"/>
    <s v="D54"/>
    <s v="F0100"/>
    <s v="A0005"/>
    <s v="T1405"/>
    <s v="B656AB20A22A7720234492208739372034"/>
  </r>
  <r>
    <n v="4444.5"/>
    <s v="F0100 - CORPORATE FUND"/>
    <s v="City Development"/>
    <x v="0"/>
    <s v="A0005 - SALARIES AND WAGES - ON PAYROLL"/>
    <x v="32"/>
    <s v="70DEDA4C2BBA80"/>
    <s v=" KLAIBER, DANIEL R"/>
    <x v="3"/>
    <s v="D54"/>
    <s v="F0100"/>
    <s v="A0005"/>
    <s v="T1441"/>
    <s v="70DEDA4C2BBA8020234616515620681053"/>
  </r>
  <r>
    <n v="3166.5"/>
    <s v="F0100 - CORPORATE FUND"/>
    <s v="City Development"/>
    <x v="0"/>
    <s v="A0005 - SALARIES AND WAGES - ON PAYROLL"/>
    <x v="16"/>
    <s v="F7E2A58A9A8CE4"/>
    <s v=" MASON JOHNSON, CHRISTINA"/>
    <x v="3"/>
    <s v="D54"/>
    <s v="F0100"/>
    <s v="A0005"/>
    <s v="T1912"/>
    <s v="F7E2A58A9A8CE420234767362917607447"/>
  </r>
  <r>
    <n v="3946"/>
    <s v="F0100 - CORPORATE FUND"/>
    <s v="City Development"/>
    <x v="0"/>
    <s v="A0005 - SALARIES AND WAGES - ON PAYROLL"/>
    <x v="16"/>
    <s v="74B174B46488E8"/>
    <s v=" GUSTAFSON, MEG E"/>
    <x v="3"/>
    <s v="D54"/>
    <s v="F0100"/>
    <s v="A0005"/>
    <s v="T1912"/>
    <s v="74B174B46488E820234478864247053851"/>
  </r>
  <r>
    <n v="5317"/>
    <s v="F0100 - CORPORATE FUND"/>
    <s v="City Development"/>
    <x v="0"/>
    <s v="A0005 - SALARIES AND WAGES - ON PAYROLL"/>
    <x v="17"/>
    <s v="82B04939FB8D7C"/>
    <s v=" GARCIA, GERARDO"/>
    <x v="3"/>
    <s v="D54"/>
    <s v="F0100"/>
    <s v="A0005"/>
    <s v="T9679"/>
    <s v="82B04939FB8D7C20234732335115854664"/>
  </r>
  <r>
    <n v="4064.5"/>
    <s v="F0100 - CORPORATE FUND"/>
    <s v="City Development"/>
    <x v="1"/>
    <s v="A0005 - SALARIES AND WAGES - ON PAYROLL"/>
    <x v="24"/>
    <s v="C0941D522C8AA2"/>
    <s v=" JOHNSON, AARON M"/>
    <x v="6"/>
    <s v="D21"/>
    <s v="F0100"/>
    <s v="A0005"/>
    <s v="T0310"/>
    <s v="C0941D522C8AA220235548053089649983"/>
  </r>
  <r>
    <n v="4043"/>
    <s v="F0100 - CORPORATE FUND"/>
    <s v="City Development"/>
    <x v="0"/>
    <s v="A0005 - SALARIES AND WAGES - ON PAYROLL"/>
    <x v="27"/>
    <s v="D85FA8CFF69D28"/>
    <s v=" KHALIQUE, FARHAN A"/>
    <x v="6"/>
    <s v="D54"/>
    <s v="F0100"/>
    <s v="A0005"/>
    <s v="T1291"/>
    <s v="D85FA8CFF69D2820235185379902026090"/>
  </r>
  <r>
    <n v="5152.5"/>
    <s v="F0100 - CORPORATE FUND"/>
    <s v="City Development"/>
    <x v="0"/>
    <s v="A0005 - SALARIES AND WAGES - ON PAYROLL"/>
    <x v="27"/>
    <s v="DDCDFA43F562C4"/>
    <s v=" RAMIREZ, CARLOS H"/>
    <x v="6"/>
    <s v="D54"/>
    <s v="F0100"/>
    <s v="A0005"/>
    <s v="T1291"/>
    <s v="DDCDFA43F562C420235676695171689745"/>
  </r>
  <r>
    <n v="4274"/>
    <s v="F0100 - CORPORATE FUND"/>
    <s v="City Development"/>
    <x v="0"/>
    <s v="A0005 - SALARIES AND WAGES - ON PAYROLL"/>
    <x v="2"/>
    <s v="17BE1C79346928"/>
    <s v=" PATE, ONEIDA R"/>
    <x v="6"/>
    <s v="D54"/>
    <s v="F0100"/>
    <s v="A0005"/>
    <s v="T1405"/>
    <s v="17BE1C7934692820235498995765117273"/>
  </r>
  <r>
    <n v="2708"/>
    <s v="F0100 - CORPORATE FUND"/>
    <s v="City Development"/>
    <x v="0"/>
    <s v="A0005 - SALARIES AND WAGES - ON PAYROLL"/>
    <x v="10"/>
    <s v="C57C9A2F1A1F8D"/>
    <s v=" THOMPSON, TAYLOR J"/>
    <x v="6"/>
    <s v="D54"/>
    <s v="F0100"/>
    <s v="A0005"/>
    <s v="T1602"/>
    <s v="C57C9A2F1A1F8D20235381532938414464"/>
  </r>
  <r>
    <n v="4536"/>
    <s v="F0100 - CORPORATE FUND"/>
    <s v="City Development"/>
    <x v="0"/>
    <s v="A0005 - SALARIES AND WAGES - ON PAYROLL"/>
    <x v="11"/>
    <s v="197E06974C23C4"/>
    <s v=" ROBACK, BRADLEY G"/>
    <x v="6"/>
    <s v="D54"/>
    <s v="F0100"/>
    <s v="A0005"/>
    <s v="T1985"/>
    <s v="197E06974C23C420235820559275635700"/>
  </r>
  <r>
    <n v="5816.5"/>
    <s v="F0100 - CORPORATE FUND"/>
    <s v="City Development"/>
    <x v="0"/>
    <s v="A0005 - SALARIES AND WAGES - ON PAYROLL"/>
    <x v="17"/>
    <s v="91B9D86BE64118"/>
    <s v=" PLOMIN, KALPANA S"/>
    <x v="6"/>
    <s v="D54"/>
    <s v="F0100"/>
    <s v="A0005"/>
    <s v="T9679"/>
    <s v="91B9D86BE6411820235998833125154571"/>
  </r>
  <r>
    <n v="3467"/>
    <s v="F0100 - CORPORATE FUND"/>
    <s v="City Development"/>
    <x v="1"/>
    <s v="A0005 - SALARIES AND WAGES - ON PAYROLL"/>
    <x v="24"/>
    <s v="F76D859E13FC1F"/>
    <s v=" O'CONNOR, STEPH K"/>
    <x v="7"/>
    <s v="D21"/>
    <s v="F0100"/>
    <s v="A0005"/>
    <s v="T0310"/>
    <s v="F76D859E13FC1F2023677036418253677"/>
  </r>
  <r>
    <n v="3607.5"/>
    <s v="F0100 - CORPORATE FUND"/>
    <s v="City Development"/>
    <x v="1"/>
    <s v="A0005 - SALARIES AND WAGES - ON PAYROLL"/>
    <x v="8"/>
    <s v="1AFFC8FE80ACB6"/>
    <s v=" NELSON, GABRIELLA M"/>
    <x v="7"/>
    <s v="D21"/>
    <s v="F0100"/>
    <s v="A0005"/>
    <s v="T1430"/>
    <s v="1AFFC8FE80ACB620236846256689184813"/>
  </r>
  <r>
    <n v="4766"/>
    <s v="F0100 - CORPORATE FUND"/>
    <s v="City Development"/>
    <x v="1"/>
    <s v="A0005 - SALARIES AND WAGES - ON PAYROLL"/>
    <x v="9"/>
    <s v="C28E727C8EB8AF"/>
    <s v=" HERTZ, DANIEL K"/>
    <x v="7"/>
    <s v="D21"/>
    <s v="F0100"/>
    <s v="A0005"/>
    <s v="T2901"/>
    <s v="C28E727C8EB8AF20236921259036331163"/>
  </r>
  <r>
    <n v="4534"/>
    <s v="F0100 - CORPORATE FUND"/>
    <s v="City Development"/>
    <x v="0"/>
    <s v="A0005 - SALARIES AND WAGES - ON PAYROLL"/>
    <x v="5"/>
    <s v="26CA8CCA8B78E4"/>
    <s v=" SZAFRANIEC, NOAH J"/>
    <x v="7"/>
    <s v="D54"/>
    <s v="F0100"/>
    <s v="A0005"/>
    <s v="T0313"/>
    <s v="26CA8CCA8B78E42023652518351125525"/>
  </r>
  <r>
    <n v="4444.5"/>
    <s v="F0100 - CORPORATE FUND"/>
    <s v="City Development"/>
    <x v="0"/>
    <s v="A0005 - SALARIES AND WAGES - ON PAYROLL"/>
    <x v="32"/>
    <s v="E8E9DEF8EB7E0B"/>
    <s v=" MARMO, MICHAEL A"/>
    <x v="7"/>
    <s v="D54"/>
    <s v="F0100"/>
    <s v="A0005"/>
    <s v="T1441"/>
    <s v="E8E9DEF8EB7E0B20236222140578946555"/>
  </r>
  <r>
    <n v="3503.5"/>
    <s v="F0100 - CORPORATE FUND"/>
    <s v="City Development"/>
    <x v="0"/>
    <s v="A0005 - SALARIES AND WAGES - ON PAYROLL"/>
    <x v="3"/>
    <s v="FABEBFAD17362B"/>
    <s v=" BARTON, EMILY M"/>
    <x v="7"/>
    <s v="D54"/>
    <s v="F0100"/>
    <s v="A0005"/>
    <s v="T5402"/>
    <s v="FABEBFAD17362B20236372287837014639"/>
  </r>
  <r>
    <n v="5816.5"/>
    <s v="F0100 - CORPORATE FUND"/>
    <s v="City Development"/>
    <x v="0"/>
    <s v="A0005 - SALARIES AND WAGES - ON PAYROLL"/>
    <x v="17"/>
    <s v="91B9D86BE64118"/>
    <s v=" PLOMIN, KALPANA S"/>
    <x v="7"/>
    <s v="D54"/>
    <s v="F0100"/>
    <s v="A0005"/>
    <s v="T9679"/>
    <s v="91B9D86BE6411820236165191624780006"/>
  </r>
  <r>
    <n v="3467"/>
    <s v="F0100 - CORPORATE FUND"/>
    <s v="City Development"/>
    <x v="1"/>
    <s v="A0005 - SALARIES AND WAGES - ON PAYROLL"/>
    <x v="24"/>
    <s v="10A1E0D57AA009"/>
    <s v=" WHEATEN, KEISHA J"/>
    <x v="8"/>
    <s v="D21"/>
    <s v="F0100"/>
    <s v="A0005"/>
    <s v="T0310"/>
    <s v="10A1E0D57AA00920237328089474647500"/>
  </r>
  <r>
    <n v="6111.5"/>
    <s v="F0100 - CORPORATE FUND"/>
    <s v="City Development"/>
    <x v="1"/>
    <s v="A0005 - SALARIES AND WAGES - ON PAYROLL"/>
    <x v="19"/>
    <s v="F9DD478927ED38"/>
    <s v=" HAMILTON, NATASHA A"/>
    <x v="8"/>
    <s v="D21"/>
    <s v="F0100"/>
    <s v="A0005"/>
    <s v="T9813"/>
    <s v="F9DD478927ED3820237188382381370728"/>
  </r>
  <r>
    <n v="515.9"/>
    <s v="F0100 - CORPORATE FUND"/>
    <s v="City Development"/>
    <x v="1"/>
    <s v="A0005 - SALARIES AND WAGES - ON PAYROLL"/>
    <x v="20"/>
    <s v="A8DBAEAB083E9C"/>
    <s v=" O'BRIEN, JACK F"/>
    <x v="8"/>
    <s v="D21"/>
    <s v="F0100"/>
    <s v="A0005"/>
    <s v="T0404"/>
    <s v="A8DBAEAB083E9C20237769999335241914"/>
  </r>
  <r>
    <n v="654.5"/>
    <s v="F0100 - CORPORATE FUND"/>
    <s v="City Development"/>
    <x v="1"/>
    <s v="A0005 - SALARIES AND WAGES - ON PAYROLL"/>
    <x v="20"/>
    <s v="9267D826BCE759"/>
    <s v=" MCKEE, ZACHARIA G"/>
    <x v="8"/>
    <s v="D21"/>
    <s v="F0100"/>
    <s v="A0005"/>
    <s v="T0404"/>
    <s v="9267D826BCE75920237683143107397466"/>
  </r>
  <r>
    <n v="4594"/>
    <s v="F0100 - CORPORATE FUND"/>
    <s v="City Development"/>
    <x v="1"/>
    <s v="A0005 - SALARIES AND WAGES - ON PAYROLL"/>
    <x v="24"/>
    <s v="F3EF8F82678221"/>
    <s v=" DURHAM,  DESTINY L"/>
    <x v="8"/>
    <s v="D21"/>
    <s v="F0100"/>
    <s v="A0005"/>
    <s v="T0310"/>
    <s v="F3EF8F8267822120257831054120965833"/>
  </r>
  <r>
    <n v="4976.5"/>
    <s v="F0100 - CORPORATE FUND"/>
    <s v="City Development"/>
    <x v="0"/>
    <s v="A0005 - SALARIES AND WAGES - ON PAYROLL"/>
    <x v="36"/>
    <s v="9F6B7F152156C8"/>
    <s v=" ELIAS, LYNETTE M"/>
    <x v="8"/>
    <s v="D54"/>
    <s v="F0100"/>
    <s v="A0005"/>
    <s v="T0304"/>
    <s v="9F6B7F152156C820237117256825179969"/>
  </r>
  <r>
    <n v="4280.5"/>
    <s v="F0100 - CORPORATE FUND"/>
    <s v="City Development"/>
    <x v="0"/>
    <s v="A0005 - SALARIES AND WAGES - ON PAYROLL"/>
    <x v="21"/>
    <s v="64B7C34724F7F0"/>
    <s v=" HARRISON, KIMBERLEY A"/>
    <x v="8"/>
    <s v="D54"/>
    <s v="F0100"/>
    <s v="A0005"/>
    <s v="T0308"/>
    <s v="64B7C34724F7F020237549190929366234"/>
  </r>
  <r>
    <n v="3240.5"/>
    <s v="F0100 - CORPORATE FUND"/>
    <s v="City Development"/>
    <x v="0"/>
    <s v="A0005 - SALARIES AND WAGES - ON PAYROLL"/>
    <x v="7"/>
    <s v="92E1F59DF1DF8D"/>
    <s v=" BERAN, PETER D"/>
    <x v="8"/>
    <s v="D54"/>
    <s v="F0100"/>
    <s v="A0005"/>
    <s v="T1293"/>
    <s v="92E1F59DF1DF8D20237153012995021040"/>
  </r>
  <r>
    <n v="4280.5"/>
    <s v="F0100 - CORPORATE FUND"/>
    <s v="City Development"/>
    <x v="0"/>
    <s v="A0005 - SALARIES AND WAGES - ON PAYROLL"/>
    <x v="7"/>
    <s v="9A02E547CCA939"/>
    <s v=" HILL, JANICE D"/>
    <x v="8"/>
    <s v="D54"/>
    <s v="F0100"/>
    <s v="A0005"/>
    <s v="T1293"/>
    <s v="9A02E547CCA93920237426441645715089"/>
  </r>
  <r>
    <n v="3711.5"/>
    <s v="F0100 - CORPORATE FUND"/>
    <s v="City Development"/>
    <x v="0"/>
    <s v="A0005 - SALARIES AND WAGES - ON PAYROLL"/>
    <x v="2"/>
    <s v="73BA524443E82D"/>
    <s v=" THRUN, EMILY"/>
    <x v="8"/>
    <s v="D54"/>
    <s v="F0100"/>
    <s v="A0005"/>
    <s v="T1405"/>
    <s v="73BA524443E82D20237830728330824809"/>
  </r>
  <r>
    <n v="5212"/>
    <s v="F0100 - CORPORATE FUND"/>
    <s v="City Development"/>
    <x v="0"/>
    <s v="A0005 - SALARIES AND WAGES - ON PAYROLL"/>
    <x v="35"/>
    <s v="50F8EE0864C0D0"/>
    <s v=" CURRY, NORA"/>
    <x v="8"/>
    <s v="D54"/>
    <s v="F0100"/>
    <s v="A0005"/>
    <s v="T3092"/>
    <s v="50F8EE0864C0D020237741260102351746"/>
  </r>
  <r>
    <n v="3340.5"/>
    <s v="F0100 - CORPORATE FUND"/>
    <s v="City Development"/>
    <x v="0"/>
    <s v="A0005 - SALARIES AND WAGES - ON PAYROLL"/>
    <x v="3"/>
    <s v="B03B858E2749B9"/>
    <s v=" RAMOS, JOYCE I"/>
    <x v="8"/>
    <s v="D54"/>
    <s v="F0100"/>
    <s v="A0005"/>
    <s v="T5402"/>
    <s v="B03B858E2749B920237821682535081228"/>
  </r>
  <r>
    <n v="5478"/>
    <s v="F0100 - CORPORATE FUND"/>
    <s v="City Development"/>
    <x v="0"/>
    <s v="A0005 - SALARIES AND WAGES - ON PAYROLL"/>
    <x v="17"/>
    <s v="A38F3ED12B746E"/>
    <s v=" DICKHUT, KATHLEEN E"/>
    <x v="8"/>
    <s v="D54"/>
    <s v="F0100"/>
    <s v="A0005"/>
    <s v="T9679"/>
    <s v="A38F3ED12B746E20237553585837554904"/>
  </r>
  <r>
    <n v="3166.5"/>
    <s v="F0100 - CORPORATE FUND"/>
    <s v="City Development"/>
    <x v="1"/>
    <s v="A0005 - SALARIES AND WAGES - ON PAYROLL"/>
    <x v="18"/>
    <s v="2CFFBB6B41AD02"/>
    <s v=" HILL, SAMANTHA"/>
    <x v="10"/>
    <s v="D21"/>
    <s v="F0100"/>
    <s v="A0005"/>
    <s v="T0802"/>
    <s v="2CFFBB6B41AD0220238881577858385903"/>
  </r>
  <r>
    <n v="4232.5"/>
    <s v="F0100 - CORPORATE FUND"/>
    <s v="City Development"/>
    <x v="1"/>
    <s v="A0005 - SALARIES AND WAGES - ON PAYROLL"/>
    <x v="30"/>
    <s v="DCCA7ADE67CA55"/>
    <s v=" O'DONNELL, BRIAN"/>
    <x v="10"/>
    <s v="D21"/>
    <s v="F0100"/>
    <s v="A0005"/>
    <s v="T1437"/>
    <s v="DCCA7ADE67CA5520238406679785424872"/>
  </r>
  <r>
    <n v="6111.5"/>
    <s v="F0100 - CORPORATE FUND"/>
    <s v="City Development"/>
    <x v="1"/>
    <s v="A0005 - SALARIES AND WAGES - ON PAYROLL"/>
    <x v="19"/>
    <s v="F9DD478927ED38"/>
    <s v=" HAMILTON, NATASHA A"/>
    <x v="10"/>
    <s v="D21"/>
    <s v="F0100"/>
    <s v="A0005"/>
    <s v="T9813"/>
    <s v="F9DD478927ED3820238958670783614633"/>
  </r>
  <r>
    <n v="3160.5"/>
    <s v="F0100 - CORPORATE FUND"/>
    <s v="City Development"/>
    <x v="0"/>
    <s v="A0005 - SALARIES AND WAGES - ON PAYROLL"/>
    <x v="2"/>
    <s v="0CFC9620D18B26"/>
    <s v=" SMAILBEGOVIC, OMAR"/>
    <x v="10"/>
    <s v="D54"/>
    <s v="F0100"/>
    <s v="A0005"/>
    <s v="T1405"/>
    <s v="0CFC9620D18B262023821663669418621"/>
  </r>
  <r>
    <n v="4487.5"/>
    <s v="F0100 - CORPORATE FUND"/>
    <s v="City Development"/>
    <x v="0"/>
    <s v="A0005 - SALARIES AND WAGES - ON PAYROLL"/>
    <x v="10"/>
    <s v="FB1ED4EDF19B41"/>
    <s v=" GARZA, CYNTHIA A"/>
    <x v="10"/>
    <s v="D54"/>
    <s v="F0100"/>
    <s v="A0005"/>
    <s v="T1602"/>
    <s v="FB1ED4EDF19B412023823129499989026"/>
  </r>
  <r>
    <n v="4229.5"/>
    <s v="F0100 - CORPORATE FUND"/>
    <s v="City Development"/>
    <x v="1"/>
    <s v="A0005 - SALARIES AND WAGES - ON PAYROLL"/>
    <x v="24"/>
    <s v="0CE7E5BE6A6E31"/>
    <s v=" MUNGIN, WHITNI E"/>
    <x v="4"/>
    <s v="D21"/>
    <s v="F0100"/>
    <s v="A0005"/>
    <s v="T0310"/>
    <s v="0CE7E5BE6A6E3120239158728480224972"/>
  </r>
  <r>
    <n v="4579.5"/>
    <s v="F0100 - CORPORATE FUND"/>
    <s v="City Development"/>
    <x v="1"/>
    <s v="A0005 - SALARIES AND WAGES - ON PAYROLL"/>
    <x v="37"/>
    <s v="35FA5F14BDD99A"/>
    <s v=" ALSAMMARAE, RIMA A"/>
    <x v="4"/>
    <s v="D21"/>
    <s v="F0100"/>
    <s v="A0005"/>
    <s v="T0705"/>
    <s v="35FA5F14BDD99A2023953431453905193"/>
  </r>
  <r>
    <n v="4534"/>
    <s v="F0100 - CORPORATE FUND"/>
    <s v="City Development"/>
    <x v="0"/>
    <s v="A0005 - SALARIES AND WAGES - ON PAYROLL"/>
    <x v="5"/>
    <s v="0A30E99A8A025B"/>
    <s v=" ALBERT, DAMIAN K"/>
    <x v="4"/>
    <s v="D54"/>
    <s v="F0100"/>
    <s v="A0005"/>
    <s v="T0313"/>
    <s v="0A30E99A8A025B20239779601424321648"/>
  </r>
  <r>
    <n v="2872.5"/>
    <s v="F0100 - CORPORATE FUND"/>
    <s v="City Development"/>
    <x v="0"/>
    <s v="A0005 - SALARIES AND WAGES - ON PAYROLL"/>
    <x v="10"/>
    <s v="C57C9A2F1A1F8D"/>
    <s v=" THOMPSON, TAYLOR J"/>
    <x v="4"/>
    <s v="D54"/>
    <s v="F0100"/>
    <s v="A0005"/>
    <s v="T1602"/>
    <s v="C57C9A2F1A1F8D20239191766741451562"/>
  </r>
  <r>
    <n v="3768.5"/>
    <s v="F0100 - CORPORATE FUND"/>
    <s v="City Development"/>
    <x v="0"/>
    <s v="A0005 - SALARIES AND WAGES - ON PAYROLL"/>
    <x v="16"/>
    <s v="4850B0ADA500EA"/>
    <s v=" SCHNEIDER, JOHN A"/>
    <x v="4"/>
    <s v="D54"/>
    <s v="F0100"/>
    <s v="A0005"/>
    <s v="T1912"/>
    <s v="4850B0ADA500EA20239703784875494745"/>
  </r>
  <r>
    <n v="4534"/>
    <s v="F0100 - CORPORATE FUND"/>
    <s v="City Development"/>
    <x v="0"/>
    <s v="A0005 - SALARIES AND WAGES - ON PAYROLL"/>
    <x v="5"/>
    <s v="816FFCA85FAFED"/>
    <s v=" ROSCHEN, MARK E"/>
    <x v="11"/>
    <s v="D54"/>
    <s v="F0100"/>
    <s v="A0005"/>
    <s v="T0313"/>
    <s v="816FFCA85FAFED20231092285347400249"/>
  </r>
  <r>
    <n v="3250"/>
    <s v="F0100 - CORPORATE FUND"/>
    <s v="City Development"/>
    <x v="0"/>
    <s v="A0005 - SALARIES AND WAGES - ON PAYROLL"/>
    <x v="38"/>
    <s v="97CD6D4F3F26BF"/>
    <s v=" ASTUDILLO, ROBERTO"/>
    <x v="11"/>
    <s v="D54"/>
    <s v="F0100"/>
    <s v="A0005"/>
    <s v="T1407"/>
    <s v="97CD6D4F3F26BF202310798157936318213"/>
  </r>
  <r>
    <n v="2941.72"/>
    <s v="F0100 - CORPORATE FUND"/>
    <s v="Public Safety"/>
    <x v="2"/>
    <s v="A0020 - OVERTIME"/>
    <x v="14"/>
    <s v="241AE96B5E1AA2"/>
    <s v=" MURDOCH,  JASON J"/>
    <x v="11"/>
    <s v="D57"/>
    <s v="F0100"/>
    <s v="A0020"/>
    <s v="T9161"/>
    <s v="241AE96B5E1AA2202510642316225602074"/>
  </r>
  <r>
    <n v="4444.5"/>
    <s v="F0100 - CORPORATE FUND"/>
    <s v="City Development"/>
    <x v="0"/>
    <s v="A0005 - SALARIES AND WAGES - ON PAYROLL"/>
    <x v="32"/>
    <s v="70DEDA4C2BBA80"/>
    <s v=" KLAIBER, DANIEL R"/>
    <x v="11"/>
    <s v="D54"/>
    <s v="F0100"/>
    <s v="A0005"/>
    <s v="T1441"/>
    <s v="70DEDA4C2BBA80202310537416149781300"/>
  </r>
  <r>
    <n v="3768.5"/>
    <s v="F0100 - CORPORATE FUND"/>
    <s v="City Development"/>
    <x v="0"/>
    <s v="A0005 - SALARIES AND WAGES - ON PAYROLL"/>
    <x v="16"/>
    <s v="04115775EBE70E"/>
    <s v=" CHASE, JESSIE L"/>
    <x v="11"/>
    <s v="D54"/>
    <s v="F0100"/>
    <s v="A0005"/>
    <s v="T1912"/>
    <s v="04115775EBE70E202310876919580944743"/>
  </r>
  <r>
    <n v="3398"/>
    <s v="F0100 - CORPORATE FUND"/>
    <s v="City Development"/>
    <x v="0"/>
    <s v="A0005 - SALARIES AND WAGES - ON PAYROLL"/>
    <x v="23"/>
    <s v="CB69C9459F68D3"/>
    <s v=" MUHAMMAD, FARIDUDDIN M"/>
    <x v="11"/>
    <s v="D54"/>
    <s v="F0100"/>
    <s v="A0005"/>
    <s v="T1984"/>
    <s v="CB69C9459F68D3202310843849717116180"/>
  </r>
  <r>
    <n v="296.45"/>
    <s v="F0100 - CORPORATE FUND"/>
    <s v="City Development"/>
    <x v="1"/>
    <s v="A0005 - SALARIES AND WAGES - ON PAYROLL"/>
    <x v="20"/>
    <s v="9B6AC3D17F92B5"/>
    <s v=" MERCADO, MIKAELA N"/>
    <x v="5"/>
    <s v="D21"/>
    <s v="F0100"/>
    <s v="A0005"/>
    <s v="T0404"/>
    <s v="9B6AC3D17F92B5202311296457512636305"/>
  </r>
  <r>
    <n v="596.75"/>
    <s v="F0100 - CORPORATE FUND"/>
    <s v="City Development"/>
    <x v="1"/>
    <s v="A0005 - SALARIES AND WAGES - ON PAYROLL"/>
    <x v="39"/>
    <s v="1F544A13C7D52A"/>
    <s v=" LUCIO, CRISTINA"/>
    <x v="5"/>
    <s v="D21"/>
    <s v="F0100"/>
    <s v="A0005"/>
    <s v="T9625"/>
    <s v="1F544A13C7D52A202311628873144718631"/>
  </r>
  <r>
    <n v="3467"/>
    <s v="F0100 - CORPORATE FUND"/>
    <s v="City Development"/>
    <x v="0"/>
    <s v="A0005 - SALARIES AND WAGES - ON PAYROLL"/>
    <x v="24"/>
    <s v="03D778202FF215"/>
    <s v=" MICH, LUKE A"/>
    <x v="5"/>
    <s v="D54"/>
    <s v="F0100"/>
    <s v="A0005"/>
    <s v="T0310"/>
    <s v="03D778202FF215202311504689189540661"/>
  </r>
  <r>
    <n v="4778.5"/>
    <s v="F0100 - CORPORATE FUND"/>
    <s v="City Development"/>
    <x v="0"/>
    <s v="A0005 - SALARIES AND WAGES - ON PAYROLL"/>
    <x v="5"/>
    <s v="541CC65F52A26C"/>
    <s v=" LAW, JOHN A"/>
    <x v="5"/>
    <s v="D54"/>
    <s v="F0100"/>
    <s v="A0005"/>
    <s v="T0313"/>
    <s v="541CC65F52A26C202311576228587030013"/>
  </r>
  <r>
    <n v="5152.5"/>
    <s v="F0100 - CORPORATE FUND"/>
    <s v="City Development"/>
    <x v="0"/>
    <s v="A0005 - SALARIES AND WAGES - ON PAYROLL"/>
    <x v="27"/>
    <s v="DDCDFA43F562C4"/>
    <s v=" RAMIREZ, CARLOS H"/>
    <x v="5"/>
    <s v="D54"/>
    <s v="F0100"/>
    <s v="A0005"/>
    <s v="T1291"/>
    <s v="DDCDFA43F562C42023114105288022840"/>
  </r>
  <r>
    <n v="3250"/>
    <s v="F0100 - CORPORATE FUND"/>
    <s v="City Development"/>
    <x v="0"/>
    <s v="A0005 - SALARIES AND WAGES - ON PAYROLL"/>
    <x v="2"/>
    <s v="816240EBBA6C50"/>
    <s v=" CLAYTON, LOUIS R"/>
    <x v="5"/>
    <s v="D54"/>
    <s v="F0100"/>
    <s v="A0005"/>
    <s v="T1405"/>
    <s v="816240EBBA6C50202311848976768912551"/>
  </r>
  <r>
    <n v="3398"/>
    <s v="F0100 - CORPORATE FUND"/>
    <s v="City Development"/>
    <x v="1"/>
    <s v="A0005 - SALARIES AND WAGES - ON PAYROLL"/>
    <x v="30"/>
    <s v="5E873B8A25701F"/>
    <s v=" JONES, VONETTA W"/>
    <x v="0"/>
    <s v="D21"/>
    <s v="F0100"/>
    <s v="A0005"/>
    <s v="T1437"/>
    <s v="5E873B8A25701F20231970870365231125"/>
  </r>
  <r>
    <n v="6111.5"/>
    <s v="F0100 - CORPORATE FUND"/>
    <s v="City Development"/>
    <x v="1"/>
    <s v="A0005 - SALARIES AND WAGES - ON PAYROLL"/>
    <x v="19"/>
    <s v="F9DD478927ED38"/>
    <s v=" HAMILTON, NATASHA A"/>
    <x v="0"/>
    <s v="D21"/>
    <s v="F0100"/>
    <s v="A0005"/>
    <s v="T9813"/>
    <s v="F9DD478927ED3820231488759202806523"/>
  </r>
  <r>
    <n v="719.95"/>
    <s v="F0100 - CORPORATE FUND"/>
    <s v="City Development"/>
    <x v="1"/>
    <s v="A0005 - SALARIES AND WAGES - ON PAYROLL"/>
    <x v="20"/>
    <s v="9267D826BCE759"/>
    <s v=" MCKEE, ZACHARIA G"/>
    <x v="0"/>
    <s v="D21"/>
    <s v="F0100"/>
    <s v="A0005"/>
    <s v="T0404"/>
    <s v="9267D826BCE7592023180488109169106"/>
  </r>
  <r>
    <n v="-133.80000000000001"/>
    <s v="F0100 - CORPORATE FUND"/>
    <s v="City Development"/>
    <x v="0"/>
    <s v="A0005 - SALARIES AND WAGES - ON PAYROLL"/>
    <x v="16"/>
    <s v="B070D8D0C55BEE"/>
    <s v=" ORTEGA, VICTORIA L"/>
    <x v="0"/>
    <s v="D54"/>
    <s v="F0100"/>
    <s v="A0005"/>
    <s v="T1912"/>
    <s v="B070D8D0C55BEE20231330160860251584"/>
  </r>
  <r>
    <n v="142.5"/>
    <s v="F0100 - CORPORATE FUND"/>
    <s v="City Development"/>
    <x v="0"/>
    <s v="A0005 - SALARIES AND WAGES - ON PAYROLL"/>
    <x v="0"/>
    <s v="396687DBE15512"/>
    <s v=" LIANG, SUNNY S"/>
    <x v="0"/>
    <s v="D54"/>
    <s v="F0100"/>
    <s v="A0005"/>
    <s v="T0109"/>
    <s v="396687DBE1551220231759383321676224"/>
  </r>
  <r>
    <n v="4280.5"/>
    <s v="F0100 - CORPORATE FUND"/>
    <s v="City Development"/>
    <x v="0"/>
    <s v="A0005 - SALARIES AND WAGES - ON PAYROLL"/>
    <x v="7"/>
    <s v="AF76F191B02EDD"/>
    <s v=" GAETA, JOSE O"/>
    <x v="0"/>
    <s v="D54"/>
    <s v="F0100"/>
    <s v="A0005"/>
    <s v="T1293"/>
    <s v="AF76F191B02EDD20231789691123655908"/>
  </r>
  <r>
    <n v="4444.5"/>
    <s v="F0100 - CORPORATE FUND"/>
    <s v="City Development"/>
    <x v="0"/>
    <s v="A0005 - SALARIES AND WAGES - ON PAYROLL"/>
    <x v="32"/>
    <s v="E8E9DEF8EB7E0B"/>
    <s v=" MARMO, MICHAEL A"/>
    <x v="0"/>
    <s v="D54"/>
    <s v="F0100"/>
    <s v="A0005"/>
    <s v="T1441"/>
    <s v="E8E9DEF8EB7E0B20231938659548541460"/>
  </r>
  <r>
    <n v="3768.5"/>
    <s v="F0100 - CORPORATE FUND"/>
    <s v="City Development"/>
    <x v="0"/>
    <s v="A0005 - SALARIES AND WAGES - ON PAYROLL"/>
    <x v="16"/>
    <s v="04115775EBE70E"/>
    <s v=" CHASE, JESSIE L"/>
    <x v="0"/>
    <s v="D54"/>
    <s v="F0100"/>
    <s v="A0005"/>
    <s v="T1912"/>
    <s v="04115775EBE70E2023119056752849133"/>
  </r>
  <r>
    <n v="3560.5"/>
    <s v="F0100 - CORPORATE FUND"/>
    <s v="City Development"/>
    <x v="0"/>
    <s v="A0005 - SALARIES AND WAGES - ON PAYROLL"/>
    <x v="35"/>
    <s v="7505B3760D8E74"/>
    <s v=" CASSIDY, MARGARET O"/>
    <x v="0"/>
    <s v="D54"/>
    <s v="F0100"/>
    <s v="A0005"/>
    <s v="T3092"/>
    <s v="7505B3760D8E7420231705188009669113"/>
  </r>
  <r>
    <n v="4229.5"/>
    <s v="F0100 - CORPORATE FUND"/>
    <s v="City Development"/>
    <x v="1"/>
    <s v="A0005 - SALARIES AND WAGES - ON PAYROLL"/>
    <x v="24"/>
    <s v="F3EF8F82678221"/>
    <s v=" DURHAM, DESTINY L"/>
    <x v="1"/>
    <s v="D21"/>
    <s v="F0100"/>
    <s v="A0005"/>
    <s v="T0310"/>
    <s v="F3EF8F8267822120232122999547329403"/>
  </r>
  <r>
    <n v="4534"/>
    <s v="F0100 - CORPORATE FUND"/>
    <s v="City Development"/>
    <x v="0"/>
    <s v="A0005 - SALARIES AND WAGES - ON PAYROLL"/>
    <x v="5"/>
    <s v="0A30E99A8A025B"/>
    <s v=" ALBERT, DAMIAN K"/>
    <x v="1"/>
    <s v="D54"/>
    <s v="F0100"/>
    <s v="A0005"/>
    <s v="T0313"/>
    <s v="0A30E99A8A025B20232769351545222646"/>
  </r>
  <r>
    <n v="4594"/>
    <s v="F0100 - CORPORATE FUND"/>
    <s v="City Development"/>
    <x v="1"/>
    <s v="A0005 - SALARIES AND WAGES - ON PAYROLL"/>
    <x v="24"/>
    <s v="F3EF8F82678221"/>
    <s v=" DURHAM,  DESTINY L"/>
    <x v="10"/>
    <s v="D21"/>
    <s v="F0100"/>
    <s v="A0005"/>
    <s v="T0310"/>
    <s v="F3EF8F8267822120258871272077574507"/>
  </r>
  <r>
    <n v="3902.5"/>
    <s v="F0100 - CORPORATE FUND"/>
    <s v="City Development"/>
    <x v="0"/>
    <s v="A0005 - SALARIES AND WAGES - ON PAYROLL"/>
    <x v="7"/>
    <s v="E6C53B81D58358"/>
    <s v=" DUPLAGA, ALICIA"/>
    <x v="1"/>
    <s v="D54"/>
    <s v="F0100"/>
    <s v="A0005"/>
    <s v="T1293"/>
    <s v="E6C53B81D5835820232356884119459193"/>
  </r>
  <r>
    <n v="4280.5"/>
    <s v="F0100 - CORPORATE FUND"/>
    <s v="City Development"/>
    <x v="0"/>
    <s v="A0005 - SALARIES AND WAGES - ON PAYROLL"/>
    <x v="7"/>
    <s v="AF76F191B02EDD"/>
    <s v=" GAETA, JOSE O"/>
    <x v="1"/>
    <s v="D54"/>
    <s v="F0100"/>
    <s v="A0005"/>
    <s v="T1293"/>
    <s v="AF76F191B02EDD20232183363342627673"/>
  </r>
  <r>
    <n v="2657.5"/>
    <s v="F0100 - CORPORATE FUND"/>
    <s v="City Development"/>
    <x v="0"/>
    <s v="A0005 - SALARIES AND WAGES - ON PAYROLL"/>
    <x v="29"/>
    <s v="D55E0AE91386C5"/>
    <s v=" ALNASER, ANNA Y"/>
    <x v="1"/>
    <s v="D54"/>
    <s v="F0100"/>
    <s v="A0005"/>
    <s v="T1310"/>
    <s v="D55E0AE91386C520232901561065108184"/>
  </r>
  <r>
    <n v="3250"/>
    <s v="F0100 - CORPORATE FUND"/>
    <s v="City Development"/>
    <x v="0"/>
    <s v="A0005 - SALARIES AND WAGES - ON PAYROLL"/>
    <x v="2"/>
    <s v="C14B6B30C583A3"/>
    <s v=" HOLLAND, WILLIAM R"/>
    <x v="1"/>
    <s v="D54"/>
    <s v="F0100"/>
    <s v="A0005"/>
    <s v="T1405"/>
    <s v="C14B6B30C583A32023268750301076495"/>
  </r>
  <r>
    <n v="4444.5"/>
    <s v="F0100 - CORPORATE FUND"/>
    <s v="City Development"/>
    <x v="0"/>
    <s v="A0005 - SALARIES AND WAGES - ON PAYROLL"/>
    <x v="32"/>
    <s v="E8E9DEF8EB7E0B"/>
    <s v=" MARMO, MICHAEL A"/>
    <x v="1"/>
    <s v="D54"/>
    <s v="F0100"/>
    <s v="A0005"/>
    <s v="T1441"/>
    <s v="E8E9DEF8EB7E0B20232363488393690531"/>
  </r>
  <r>
    <n v="5816.5"/>
    <s v="F0100 - CORPORATE FUND"/>
    <s v="City Development"/>
    <x v="0"/>
    <s v="A0005 - SALARIES AND WAGES - ON PAYROLL"/>
    <x v="17"/>
    <s v="91B9D86BE64118"/>
    <s v=" PLOMIN, KALPANA S"/>
    <x v="1"/>
    <s v="D54"/>
    <s v="F0100"/>
    <s v="A0005"/>
    <s v="T9679"/>
    <s v="91B9D86BE6411820232736808834703646"/>
  </r>
  <r>
    <n v="635.25"/>
    <s v="F0100 - CORPORATE FUND"/>
    <s v="City Development"/>
    <x v="1"/>
    <s v="A0005 - SALARIES AND WAGES - ON PAYROLL"/>
    <x v="20"/>
    <s v="9B6AC3D17F92B5"/>
    <s v=" MERCADO, MIKAELA N"/>
    <x v="2"/>
    <s v="D21"/>
    <s v="F0100"/>
    <s v="A0005"/>
    <s v="T0404"/>
    <s v="9B6AC3D17F92B520233529668794758064"/>
  </r>
  <r>
    <n v="650.65"/>
    <s v="F0100 - CORPORATE FUND"/>
    <s v="City Development"/>
    <x v="1"/>
    <s v="A0005 - SALARIES AND WAGES - ON PAYROLL"/>
    <x v="20"/>
    <s v="9267D826BCE759"/>
    <s v=" MCKEE, ZACHARIA G"/>
    <x v="2"/>
    <s v="D21"/>
    <s v="F0100"/>
    <s v="A0005"/>
    <s v="T0404"/>
    <s v="9267D826BCE75920233829949844460471"/>
  </r>
  <r>
    <n v="-650.16"/>
    <s v="F0100 - CORPORATE FUND"/>
    <s v="City Development"/>
    <x v="0"/>
    <s v="A0005 - SALARIES AND WAGES - ON PAYROLL"/>
    <x v="1"/>
    <s v="90D4F9839B1EE3"/>
    <s v=" GRAYER, SHELIA D"/>
    <x v="2"/>
    <s v="D54"/>
    <s v="F0100"/>
    <s v="A0005"/>
    <s v="T0303"/>
    <s v="90D4F9839B1EE320233115381040762311"/>
  </r>
  <r>
    <n v="-381.47"/>
    <s v="F0100 - CORPORATE FUND"/>
    <s v="City Development"/>
    <x v="0"/>
    <s v="A0005 - SALARIES AND WAGES - ON PAYROLL"/>
    <x v="5"/>
    <s v="8D033298A9797A"/>
    <s v=" RADZEVICH, NANCY M"/>
    <x v="2"/>
    <s v="D54"/>
    <s v="F0100"/>
    <s v="A0005"/>
    <s v="T0313"/>
    <s v="8D033298A9797A20233447439692006757"/>
  </r>
  <r>
    <n v="4534"/>
    <s v="F0100 - CORPORATE FUND"/>
    <s v="City Development"/>
    <x v="0"/>
    <s v="A0005 - SALARIES AND WAGES - ON PAYROLL"/>
    <x v="5"/>
    <s v="CB3769E02D0B31"/>
    <s v=" BARTLETT, KYLE W"/>
    <x v="2"/>
    <s v="D54"/>
    <s v="F0100"/>
    <s v="A0005"/>
    <s v="T0313"/>
    <s v="CB3769E02D0B3120233853221779874381"/>
  </r>
  <r>
    <n v="2542.5"/>
    <s v="F0100 - CORPORATE FUND"/>
    <s v="City Development"/>
    <x v="0"/>
    <s v="A0005 - SALARIES AND WAGES - ON PAYROLL"/>
    <x v="7"/>
    <s v="D6F0FB9FC44E17"/>
    <s v=" NOLTER, ROBERT J"/>
    <x v="2"/>
    <s v="D54"/>
    <s v="F0100"/>
    <s v="A0005"/>
    <s v="T1293"/>
    <s v="D6F0FB9FC44E1720233738113784964570"/>
  </r>
  <r>
    <n v="3240.5"/>
    <s v="F0100 - CORPORATE FUND"/>
    <s v="City Development"/>
    <x v="0"/>
    <s v="A0005 - SALARIES AND WAGES - ON PAYROLL"/>
    <x v="7"/>
    <s v="92E1F59DF1DF8D"/>
    <s v=" BERAN, PETER D"/>
    <x v="2"/>
    <s v="D54"/>
    <s v="F0100"/>
    <s v="A0005"/>
    <s v="T1293"/>
    <s v="92E1F59DF1DF8D20233907443687807005"/>
  </r>
  <r>
    <n v="4274"/>
    <s v="F0100 - CORPORATE FUND"/>
    <s v="City Development"/>
    <x v="0"/>
    <s v="A0005 - SALARIES AND WAGES - ON PAYROLL"/>
    <x v="2"/>
    <s v="B656AB20A22A77"/>
    <s v=" RHYMES, MICHELE A"/>
    <x v="2"/>
    <s v="D54"/>
    <s v="F0100"/>
    <s v="A0005"/>
    <s v="T1405"/>
    <s v="B656AB20A22A7720233570830402343415"/>
  </r>
  <r>
    <n v="3360.5"/>
    <s v="F0100 - CORPORATE FUND"/>
    <s v="City Development"/>
    <x v="0"/>
    <s v="A0005 - SALARIES AND WAGES - ON PAYROLL"/>
    <x v="10"/>
    <s v="4C90C223CE8BDC"/>
    <s v=" MICHAELS, JAMES"/>
    <x v="2"/>
    <s v="D54"/>
    <s v="F0100"/>
    <s v="A0005"/>
    <s v="T1602"/>
    <s v="4C90C223CE8BDC20233203120237085276"/>
  </r>
  <r>
    <n v="2783.5"/>
    <s v="F0100 - CORPORATE FUND"/>
    <s v="City Development"/>
    <x v="0"/>
    <s v="A0005 - SALARIES AND WAGES - ON PAYROLL"/>
    <x v="16"/>
    <s v="D0F81716CD2DC3"/>
    <s v=" NAPOLES, LISA G"/>
    <x v="2"/>
    <s v="D54"/>
    <s v="F0100"/>
    <s v="A0005"/>
    <s v="T1912"/>
    <s v="D0F81716CD2DC320233806691301624760"/>
  </r>
  <r>
    <n v="2206.5"/>
    <s v="F0100 - CORPORATE FUND"/>
    <s v="City Development"/>
    <x v="1"/>
    <s v="A0005 - SALARIES AND WAGES - ON PAYROLL"/>
    <x v="33"/>
    <s v="B997D21DD188D1"/>
    <s v=" WINDMON, HEATHER E"/>
    <x v="3"/>
    <s v="D21"/>
    <s v="F0100"/>
    <s v="A0005"/>
    <s v="T0366"/>
    <s v="B997D21DD188D12023472163612933729"/>
  </r>
  <r>
    <n v="4534"/>
    <s v="F0100 - CORPORATE FUND"/>
    <s v="City Development"/>
    <x v="0"/>
    <s v="A0005 - SALARIES AND WAGES - ON PAYROLL"/>
    <x v="5"/>
    <s v="816FFCA85FAFED"/>
    <s v=" ROSCHEN, MARK E"/>
    <x v="3"/>
    <s v="D54"/>
    <s v="F0100"/>
    <s v="A0005"/>
    <s v="T0313"/>
    <s v="816FFCA85FAFED20234771609436054068"/>
  </r>
  <r>
    <n v="5088"/>
    <s v="F0100 - CORPORATE FUND"/>
    <s v="City Development"/>
    <x v="0"/>
    <s v="A0005 - SALARIES AND WAGES - ON PAYROLL"/>
    <x v="40"/>
    <s v="FEC807F9B1CF02"/>
    <s v=" CUVALO, DIJANA"/>
    <x v="3"/>
    <s v="D54"/>
    <s v="F0100"/>
    <s v="A0005"/>
    <s v="T5404"/>
    <s v="FEC807F9B1CF0220234719502422097345"/>
  </r>
  <r>
    <n v="3607.5"/>
    <s v="F0100 - CORPORATE FUND"/>
    <s v="City Development"/>
    <x v="1"/>
    <s v="A0005 - SALARIES AND WAGES - ON PAYROLL"/>
    <x v="8"/>
    <s v="1AFFC8FE80ACB6"/>
    <s v=" NELSON, GABRIELLA M"/>
    <x v="6"/>
    <s v="D21"/>
    <s v="F0100"/>
    <s v="A0005"/>
    <s v="T1430"/>
    <s v="1AFFC8FE80ACB620235284011743312377"/>
  </r>
  <r>
    <n v="7916.5"/>
    <s v="F0100 - CORPORATE FUND"/>
    <s v="City Development"/>
    <x v="1"/>
    <s v="A0005 - SALARIES AND WAGES - ON PAYROLL"/>
    <x v="41"/>
    <s v="9CB9A9EE63E5EB"/>
    <s v=" NOVARA, MARISA C"/>
    <x v="6"/>
    <s v="D21"/>
    <s v="F0100"/>
    <s v="A0005"/>
    <s v="T9921"/>
    <s v="9CB9A9EE63E5EB20235625453960804306"/>
  </r>
  <r>
    <n v="4534"/>
    <s v="F0100 - CORPORATE FUND"/>
    <s v="City Development"/>
    <x v="0"/>
    <s v="A0005 - SALARIES AND WAGES - ON PAYROLL"/>
    <x v="5"/>
    <s v="CB3769E02D0B31"/>
    <s v=" BARTLETT, KYLE W"/>
    <x v="6"/>
    <s v="D54"/>
    <s v="F0100"/>
    <s v="A0005"/>
    <s v="T0313"/>
    <s v="CB3769E02D0B31202358463999145268"/>
  </r>
  <r>
    <n v="4536"/>
    <s v="F0100 - CORPORATE FUND"/>
    <s v="City Development"/>
    <x v="0"/>
    <s v="A0005 - SALARIES AND WAGES - ON PAYROLL"/>
    <x v="31"/>
    <s v="FD79F1E16BD724"/>
    <s v=" RESA, VICTOR T"/>
    <x v="6"/>
    <s v="D54"/>
    <s v="F0100"/>
    <s v="A0005"/>
    <s v="T1290"/>
    <s v="FD79F1E16BD72420235550992995892376"/>
  </r>
  <r>
    <n v="2665.5"/>
    <s v="F0100 - CORPORATE FUND"/>
    <s v="City Development"/>
    <x v="0"/>
    <s v="A0005 - SALARIES AND WAGES - ON PAYROLL"/>
    <x v="7"/>
    <s v="BE2EF730E01B53"/>
    <s v=" DUNKLEY, WILLIAM J"/>
    <x v="6"/>
    <s v="D54"/>
    <s v="F0100"/>
    <s v="A0005"/>
    <s v="T1293"/>
    <s v="BE2EF730E01B5320235999981750340013"/>
  </r>
  <r>
    <n v="2665.5"/>
    <s v="F0100 - CORPORATE FUND"/>
    <s v="City Development"/>
    <x v="0"/>
    <s v="A0005 - SALARIES AND WAGES - ON PAYROLL"/>
    <x v="7"/>
    <s v="2CA9E6F50425D8"/>
    <s v=" PENA, ANTONIO G"/>
    <x v="6"/>
    <s v="D54"/>
    <s v="F0100"/>
    <s v="A0005"/>
    <s v="T1293"/>
    <s v="2CA9E6F50425D820235335506449456301"/>
  </r>
  <r>
    <n v="3240.5"/>
    <s v="F0100 - CORPORATE FUND"/>
    <s v="City Development"/>
    <x v="0"/>
    <s v="A0005 - SALARIES AND WAGES - ON PAYROLL"/>
    <x v="7"/>
    <s v="92E1F59DF1DF8D"/>
    <s v=" BERAN, PETER D"/>
    <x v="6"/>
    <s v="D54"/>
    <s v="F0100"/>
    <s v="A0005"/>
    <s v="T1293"/>
    <s v="92E1F59DF1DF8D20235920364767086639"/>
  </r>
  <r>
    <n v="2302.91"/>
    <s v="F0100 - CORPORATE FUND"/>
    <s v="City Development"/>
    <x v="0"/>
    <s v="A0005 - SALARIES AND WAGES - ON PAYROLL"/>
    <x v="16"/>
    <s v="F3A7E2AE494905"/>
    <s v=" MARTINEZ, SAMIE"/>
    <x v="6"/>
    <s v="D54"/>
    <s v="F0100"/>
    <s v="A0005"/>
    <s v="T1912"/>
    <s v="F3A7E2AE49490520235416139301149395"/>
  </r>
  <r>
    <n v="5317"/>
    <s v="F0100 - CORPORATE FUND"/>
    <s v="City Development"/>
    <x v="0"/>
    <s v="A0005 - SALARIES AND WAGES - ON PAYROLL"/>
    <x v="17"/>
    <s v="82B04939FB8D7C"/>
    <s v=" GARCIA, GERARDO"/>
    <x v="6"/>
    <s v="D54"/>
    <s v="F0100"/>
    <s v="A0005"/>
    <s v="T9679"/>
    <s v="82B04939FB8D7C20235346685680552857"/>
  </r>
  <r>
    <n v="5317"/>
    <s v="F0100 - CORPORATE FUND"/>
    <s v="City Development"/>
    <x v="0"/>
    <s v="A0005 - SALARIES AND WAGES - ON PAYROLL"/>
    <x v="17"/>
    <s v="CB66CA7BBB392E"/>
    <s v=" ROUBIK, CYNTHIA J"/>
    <x v="6"/>
    <s v="D54"/>
    <s v="F0100"/>
    <s v="A0005"/>
    <s v="T9679"/>
    <s v="CB66CA7BBB392E20235491097365091385"/>
  </r>
  <r>
    <n v="3467"/>
    <s v="F0100 - CORPORATE FUND"/>
    <s v="City Development"/>
    <x v="1"/>
    <s v="A0005 - SALARIES AND WAGES - ON PAYROLL"/>
    <x v="24"/>
    <s v="10A1E0D57AA009"/>
    <s v=" WHEATEN, KEISHA J"/>
    <x v="7"/>
    <s v="D21"/>
    <s v="F0100"/>
    <s v="A0005"/>
    <s v="T0310"/>
    <s v="10A1E0D57AA00920236987911520839148"/>
  </r>
  <r>
    <n v="3398"/>
    <s v="F0100 - CORPORATE FUND"/>
    <s v="City Development"/>
    <x v="1"/>
    <s v="A0005 - SALARIES AND WAGES - ON PAYROLL"/>
    <x v="30"/>
    <s v="5E873B8A25701F"/>
    <s v=" JONES, VONETTA W"/>
    <x v="7"/>
    <s v="D21"/>
    <s v="F0100"/>
    <s v="A0005"/>
    <s v="T1437"/>
    <s v="5E873B8A25701F20236995885318384378"/>
  </r>
  <r>
    <n v="6502.5"/>
    <s v="F0100 - CORPORATE FUND"/>
    <s v="City Development"/>
    <x v="1"/>
    <s v="A0005 - SALARIES AND WAGES - ON PAYROLL"/>
    <x v="19"/>
    <s v="B7A5D651A3EE74"/>
    <s v=" ESENBERG, BRYAN"/>
    <x v="7"/>
    <s v="D21"/>
    <s v="F0100"/>
    <s v="A0005"/>
    <s v="T9813"/>
    <s v="B7A5D651A3EE7420236465659454956953"/>
  </r>
  <r>
    <n v="3867.5"/>
    <s v="F0100 - CORPORATE FUND"/>
    <s v="City Development"/>
    <x v="0"/>
    <s v="A0005 - SALARIES AND WAGES - ON PAYROLL"/>
    <x v="24"/>
    <s v="875D1F5749F310"/>
    <s v=" MALAKPOUR, SOUSAN"/>
    <x v="7"/>
    <s v="D54"/>
    <s v="F0100"/>
    <s v="A0005"/>
    <s v="T0310"/>
    <s v="875D1F5749F31020236838310813032617"/>
  </r>
  <r>
    <n v="2665.5"/>
    <s v="F0100 - CORPORATE FUND"/>
    <s v="City Development"/>
    <x v="0"/>
    <s v="A0005 - SALARIES AND WAGES - ON PAYROLL"/>
    <x v="34"/>
    <s v="32EEDD57B92F73"/>
    <s v=" RODRIGUEZ, VELIA C"/>
    <x v="7"/>
    <s v="D54"/>
    <s v="F0100"/>
    <s v="A0005"/>
    <s v="T0801"/>
    <s v="32EEDD57B92F7320236857752563687236"/>
  </r>
  <r>
    <n v="2665.5"/>
    <s v="F0100 - CORPORATE FUND"/>
    <s v="City Development"/>
    <x v="0"/>
    <s v="A0005 - SALARIES AND WAGES - ON PAYROLL"/>
    <x v="7"/>
    <s v="2CA9E6F50425D8"/>
    <s v=" PENA, ANTONIO G"/>
    <x v="7"/>
    <s v="D54"/>
    <s v="F0100"/>
    <s v="A0005"/>
    <s v="T1293"/>
    <s v="2CA9E6F50425D820236829982014411210"/>
  </r>
  <r>
    <n v="4280.5"/>
    <s v="F0100 - CORPORATE FUND"/>
    <s v="City Development"/>
    <x v="0"/>
    <s v="A0005 - SALARIES AND WAGES - ON PAYROLL"/>
    <x v="7"/>
    <s v="9A02E547CCA939"/>
    <s v=" HILL, JANICE D"/>
    <x v="7"/>
    <s v="D54"/>
    <s v="F0100"/>
    <s v="A0005"/>
    <s v="T1293"/>
    <s v="9A02E547CCA93920236130623557650422"/>
  </r>
  <r>
    <n v="3250"/>
    <s v="F0100 - CORPORATE FUND"/>
    <s v="City Development"/>
    <x v="0"/>
    <s v="A0005 - SALARIES AND WAGES - ON PAYROLL"/>
    <x v="2"/>
    <s v="816240EBBA6C50"/>
    <s v=" CLAYTON, LOUIS R"/>
    <x v="7"/>
    <s v="D54"/>
    <s v="F0100"/>
    <s v="A0005"/>
    <s v="T1405"/>
    <s v="816240EBBA6C5020236128032652544434"/>
  </r>
  <r>
    <n v="3250"/>
    <s v="F0100 - CORPORATE FUND"/>
    <s v="City Development"/>
    <x v="0"/>
    <s v="A0005 - SALARIES AND WAGES - ON PAYROLL"/>
    <x v="2"/>
    <s v="C0C22C2EB8E347"/>
    <s v=" LYON, MAXIMILIAN D"/>
    <x v="7"/>
    <s v="D54"/>
    <s v="F0100"/>
    <s v="A0005"/>
    <s v="T1405"/>
    <s v="C0C22C2EB8E34720236330042015714169"/>
  </r>
  <r>
    <n v="4274"/>
    <s v="F0100 - CORPORATE FUND"/>
    <s v="City Development"/>
    <x v="0"/>
    <s v="A0005 - SALARIES AND WAGES - ON PAYROLL"/>
    <x v="2"/>
    <s v="0B53A61E880DE9"/>
    <s v=" ESPINOZA, FERNANDO"/>
    <x v="7"/>
    <s v="D54"/>
    <s v="F0100"/>
    <s v="A0005"/>
    <s v="T1405"/>
    <s v="0B53A61E880DE920236324214346731461"/>
  </r>
  <r>
    <n v="4444.5"/>
    <s v="F0100 - CORPORATE FUND"/>
    <s v="City Development"/>
    <x v="0"/>
    <s v="A0005 - SALARIES AND WAGES - ON PAYROLL"/>
    <x v="32"/>
    <s v="70DEDA4C2BBA80"/>
    <s v=" KLAIBER, DANIEL R"/>
    <x v="7"/>
    <s v="D54"/>
    <s v="F0100"/>
    <s v="A0005"/>
    <s v="T1441"/>
    <s v="70DEDA4C2BBA8020236495021915354380"/>
  </r>
  <r>
    <n v="2708"/>
    <s v="F0100 - CORPORATE FUND"/>
    <s v="City Development"/>
    <x v="0"/>
    <s v="A0005 - SALARIES AND WAGES - ON PAYROLL"/>
    <x v="10"/>
    <s v="C57C9A2F1A1F8D"/>
    <s v=" THOMPSON, TAYLOR J"/>
    <x v="7"/>
    <s v="D54"/>
    <s v="F0100"/>
    <s v="A0005"/>
    <s v="T1602"/>
    <s v="C57C9A2F1A1F8D20236423562072113951"/>
  </r>
  <r>
    <n v="4487.5"/>
    <s v="F0100 - CORPORATE FUND"/>
    <s v="City Development"/>
    <x v="0"/>
    <s v="A0005 - SALARIES AND WAGES - ON PAYROLL"/>
    <x v="10"/>
    <s v="FB1ED4EDF19B41"/>
    <s v=" GARZA, CYNTHIA A"/>
    <x v="7"/>
    <s v="D54"/>
    <s v="F0100"/>
    <s v="A0005"/>
    <s v="T1602"/>
    <s v="FB1ED4EDF19B4120236199155156718919"/>
  </r>
  <r>
    <n v="3607.5"/>
    <s v="F0100 - CORPORATE FUND"/>
    <s v="City Development"/>
    <x v="1"/>
    <s v="A0005 - SALARIES AND WAGES - ON PAYROLL"/>
    <x v="8"/>
    <s v="1AFFC8FE80ACB6"/>
    <s v=" NELSON, GABRIELLA M"/>
    <x v="8"/>
    <s v="D21"/>
    <s v="F0100"/>
    <s v="A0005"/>
    <s v="T1430"/>
    <s v="1AFFC8FE80ACB620237829945142340155"/>
  </r>
  <r>
    <n v="-383.23"/>
    <s v="F0100 - CORPORATE FUND"/>
    <s v="City Development"/>
    <x v="0"/>
    <s v="A0005 - SALARIES AND WAGES - ON PAYROLL"/>
    <x v="1"/>
    <s v="90D4F9839B1EE3"/>
    <s v=" GRAYER, SHELIA D"/>
    <x v="8"/>
    <s v="D54"/>
    <s v="F0100"/>
    <s v="A0005"/>
    <s v="T0303"/>
    <s v="90D4F9839B1EE320237623581306951781"/>
  </r>
  <r>
    <n v="3902.5"/>
    <s v="F0100 - CORPORATE FUND"/>
    <s v="City Development"/>
    <x v="0"/>
    <s v="A0005 - SALARIES AND WAGES - ON PAYROLL"/>
    <x v="7"/>
    <s v="E6C53B81D58358"/>
    <s v=" DUPLAGA, ALICIA"/>
    <x v="8"/>
    <s v="D54"/>
    <s v="F0100"/>
    <s v="A0005"/>
    <s v="T1293"/>
    <s v="E6C53B81D5835820237179790241111047"/>
  </r>
  <r>
    <n v="3503.5"/>
    <s v="F0100 - CORPORATE FUND"/>
    <s v="City Development"/>
    <x v="0"/>
    <s v="A0005 - SALARIES AND WAGES - ON PAYROLL"/>
    <x v="3"/>
    <s v="FABEBFAD17362B"/>
    <s v=" BARTON, EMILY M"/>
    <x v="8"/>
    <s v="D54"/>
    <s v="F0100"/>
    <s v="A0005"/>
    <s v="T5402"/>
    <s v="FABEBFAD17362B20237865855449440766"/>
  </r>
  <r>
    <n v="3394.5"/>
    <s v="F0100 - CORPORATE FUND"/>
    <s v="City Development"/>
    <x v="0"/>
    <s v="A0005 - SALARIES AND WAGES - ON PAYROLL"/>
    <x v="21"/>
    <s v="65FD61E57B6B1E"/>
    <s v=" MORGAN, LASHONDA L"/>
    <x v="10"/>
    <s v="D54"/>
    <s v="F0100"/>
    <s v="A0005"/>
    <s v="T0308"/>
    <s v="65FD61E57B6B1E20238624258430625969"/>
  </r>
  <r>
    <n v="3250"/>
    <s v="F0100 - CORPORATE FUND"/>
    <s v="City Development"/>
    <x v="0"/>
    <s v="A0005 - SALARIES AND WAGES - ON PAYROLL"/>
    <x v="2"/>
    <s v="C14B6B30C583A3"/>
    <s v=" HOLLAND, WILLIAM R"/>
    <x v="10"/>
    <s v="D54"/>
    <s v="F0100"/>
    <s v="A0005"/>
    <s v="T1405"/>
    <s v="C14B6B30C583A320238742419176031290"/>
  </r>
  <r>
    <n v="3250"/>
    <s v="F0100 - CORPORATE FUND"/>
    <s v="City Development"/>
    <x v="0"/>
    <s v="A0005 - SALARIES AND WAGES - ON PAYROLL"/>
    <x v="2"/>
    <s v="C0C22C2EB8E347"/>
    <s v=" LYON, MAXIMILIAN D"/>
    <x v="10"/>
    <s v="D54"/>
    <s v="F0100"/>
    <s v="A0005"/>
    <s v="T1405"/>
    <s v="C0C22C2EB8E34720238225488989904351"/>
  </r>
  <r>
    <n v="2934.5"/>
    <s v="F0100 - CORPORATE FUND"/>
    <s v="City Development"/>
    <x v="0"/>
    <s v="A0005 - SALARIES AND WAGES - ON PAYROLL"/>
    <x v="3"/>
    <s v="7493FE5A25A088"/>
    <s v=" TAYLOR, TYLER H"/>
    <x v="10"/>
    <s v="D54"/>
    <s v="F0100"/>
    <s v="A0005"/>
    <s v="T5402"/>
    <s v="7493FE5A25A08820238741435234690628"/>
  </r>
  <r>
    <n v="3340.5"/>
    <s v="F0100 - CORPORATE FUND"/>
    <s v="City Development"/>
    <x v="0"/>
    <s v="A0005 - SALARIES AND WAGES - ON PAYROLL"/>
    <x v="3"/>
    <s v="B03B858E2749B9"/>
    <s v=" RAMOS, JOYCE I"/>
    <x v="10"/>
    <s v="D54"/>
    <s v="F0100"/>
    <s v="A0005"/>
    <s v="T5402"/>
    <s v="B03B858E2749B920238877855028929065"/>
  </r>
  <r>
    <n v="8123.5"/>
    <s v="F0100 - CORPORATE FUND"/>
    <s v="City Development"/>
    <x v="0"/>
    <s v="A0005 - SALARIES AND WAGES - ON PAYROLL"/>
    <x v="42"/>
    <s v="6F8880ACA0EE59"/>
    <s v=" COX, MAURICE D"/>
    <x v="10"/>
    <s v="D54"/>
    <s v="F0100"/>
    <s v="A0005"/>
    <s v="T9954"/>
    <s v="6F8880ACA0EE5920238395690245648283"/>
  </r>
  <r>
    <n v="3166.5"/>
    <s v="F0100 - CORPORATE FUND"/>
    <s v="City Development"/>
    <x v="1"/>
    <s v="A0005 - SALARIES AND WAGES - ON PAYROLL"/>
    <x v="18"/>
    <s v="2CFFBB6B41AD02"/>
    <s v=" HILL, SAMANTHA"/>
    <x v="4"/>
    <s v="D21"/>
    <s v="F0100"/>
    <s v="A0005"/>
    <s v="T0802"/>
    <s v="2CFFBB6B41AD0220239458164438289444"/>
  </r>
  <r>
    <n v="3398"/>
    <s v="F0100 - CORPORATE FUND"/>
    <s v="City Development"/>
    <x v="1"/>
    <s v="A0005 - SALARIES AND WAGES - ON PAYROLL"/>
    <x v="30"/>
    <s v="D4A27913C9EEDD"/>
    <s v=" COLLINS, KATRINA M"/>
    <x v="4"/>
    <s v="D21"/>
    <s v="F0100"/>
    <s v="A0005"/>
    <s v="T1437"/>
    <s v="D4A27913C9EEDD20239201267641089291"/>
  </r>
  <r>
    <n v="2783.5"/>
    <s v="F0100 - CORPORATE FUND"/>
    <s v="City Development"/>
    <x v="1"/>
    <s v="A0005 - SALARIES AND WAGES - ON PAYROLL"/>
    <x v="16"/>
    <s v="0334E70151367D"/>
    <s v=" MAYFIELD, ALEXIS S"/>
    <x v="4"/>
    <s v="D21"/>
    <s v="F0100"/>
    <s v="A0005"/>
    <s v="T1912"/>
    <s v="0334E70151367D20239699210670666372"/>
  </r>
  <r>
    <n v="7916.5"/>
    <s v="F0100 - CORPORATE FUND"/>
    <s v="City Development"/>
    <x v="1"/>
    <s v="A0005 - SALARIES AND WAGES - ON PAYROLL"/>
    <x v="41"/>
    <s v="9CB9A9EE63E5EB"/>
    <s v=" NOVARA, MARISA C"/>
    <x v="4"/>
    <s v="D21"/>
    <s v="F0100"/>
    <s v="A0005"/>
    <s v="T9921"/>
    <s v="9CB9A9EE63E5EB20239827545796717067"/>
  </r>
  <r>
    <n v="4140"/>
    <s v="F0100 - CORPORATE FUND"/>
    <s v="City Development"/>
    <x v="0"/>
    <s v="A0005 - SALARIES AND WAGES - ON PAYROLL"/>
    <x v="1"/>
    <s v="90D4F9839B1EE3"/>
    <s v=" GRAYER, SHELIA D"/>
    <x v="4"/>
    <s v="D54"/>
    <s v="F0100"/>
    <s v="A0005"/>
    <s v="T0303"/>
    <s v="90D4F9839B1EE320239623538947929242"/>
  </r>
  <r>
    <n v="2004"/>
    <s v="F0100 - CORPORATE FUND"/>
    <s v="Finance and Administration"/>
    <x v="4"/>
    <s v="A0020 - OVERTIME"/>
    <x v="43"/>
    <s v="899A4D8E48CA2E"/>
    <s v=" SCHREMP, JAMES R"/>
    <x v="11"/>
    <s v="D38"/>
    <s v="F0100"/>
    <s v="A0020"/>
    <s v="T6605"/>
    <s v="899A4D8E48CA2E202310322512425711551"/>
  </r>
  <r>
    <n v="4534"/>
    <s v="F0100 - CORPORATE FUND"/>
    <s v="City Development"/>
    <x v="0"/>
    <s v="A0005 - SALARIES AND WAGES - ON PAYROLL"/>
    <x v="5"/>
    <s v="87103CE3469AB6"/>
    <s v=" JIRASEK, GABRIELA C"/>
    <x v="4"/>
    <s v="D54"/>
    <s v="F0100"/>
    <s v="A0005"/>
    <s v="T0313"/>
    <s v="87103CE3469AB620239930261074439514"/>
  </r>
  <r>
    <n v="4330"/>
    <s v="F0100 - CORPORATE FUND"/>
    <s v="City Development"/>
    <x v="0"/>
    <s v="A0005 - SALARIES AND WAGES - ON PAYROLL"/>
    <x v="15"/>
    <s v="4450854AC2FA16"/>
    <s v=" CANNON, ANGELA"/>
    <x v="4"/>
    <s v="D54"/>
    <s v="F0100"/>
    <s v="A0005"/>
    <s v="T0381"/>
    <s v="4450854AC2FA162023975332107374536"/>
  </r>
  <r>
    <n v="735.43"/>
    <s v="F0100 - CORPORATE FUND"/>
    <s v="Public Safety"/>
    <x v="2"/>
    <s v="A0020 - OVERTIME"/>
    <x v="14"/>
    <s v="241AE96B5E1AA2"/>
    <s v=" MURDOCH,  JASON J"/>
    <x v="5"/>
    <s v="D57"/>
    <s v="F0100"/>
    <s v="A0020"/>
    <s v="T9161"/>
    <s v="241AE96B5E1AA2202511730775059010927"/>
  </r>
  <r>
    <n v="2828"/>
    <s v="F0100 - CORPORATE FUND"/>
    <s v="City Development"/>
    <x v="0"/>
    <s v="A0005 - SALARIES AND WAGES - ON PAYROLL"/>
    <x v="7"/>
    <s v="BE2EF730E01B53"/>
    <s v=" DUNKLEY, WILLIAM J"/>
    <x v="4"/>
    <s v="D54"/>
    <s v="F0100"/>
    <s v="A0005"/>
    <s v="T1293"/>
    <s v="BE2EF730E01B5320239958727703254315"/>
  </r>
  <r>
    <n v="2828"/>
    <s v="F0100 - CORPORATE FUND"/>
    <s v="City Development"/>
    <x v="0"/>
    <s v="A0005 - SALARIES AND WAGES - ON PAYROLL"/>
    <x v="7"/>
    <s v="2CA9E6F50425D8"/>
    <s v=" PENA, ANTONIO G"/>
    <x v="4"/>
    <s v="D54"/>
    <s v="F0100"/>
    <s v="A0005"/>
    <s v="T1293"/>
    <s v="2CA9E6F50425D820239925878706869272"/>
  </r>
  <r>
    <n v="4423"/>
    <s v="F0100 - CORPORATE FUND"/>
    <s v="City Development"/>
    <x v="0"/>
    <s v="A0005 - SALARIES AND WAGES - ON PAYROLL"/>
    <x v="44"/>
    <s v="8F3FF33ABC1766"/>
    <s v=" SPERRY, HEIDI L"/>
    <x v="4"/>
    <s v="D54"/>
    <s v="F0100"/>
    <s v="A0005"/>
    <s v="T1408"/>
    <s v="8F3FF33ABC176620239626635209494741"/>
  </r>
  <r>
    <n v="2783.5"/>
    <s v="F0100 - CORPORATE FUND"/>
    <s v="City Development"/>
    <x v="0"/>
    <s v="A0005 - SALARIES AND WAGES - ON PAYROLL"/>
    <x v="16"/>
    <s v="D0F81716CD2DC3"/>
    <s v=" NAPOLES, LISA G"/>
    <x v="4"/>
    <s v="D54"/>
    <s v="F0100"/>
    <s v="A0005"/>
    <s v="T1912"/>
    <s v="D0F81716CD2DC320239748510617583678"/>
  </r>
  <r>
    <n v="5317"/>
    <s v="F0100 - CORPORATE FUND"/>
    <s v="City Development"/>
    <x v="0"/>
    <s v="A0005 - SALARIES AND WAGES - ON PAYROLL"/>
    <x v="17"/>
    <s v="FDA2B40E79CE73"/>
    <s v=" STRAZZABOSCO, PETER L"/>
    <x v="4"/>
    <s v="D54"/>
    <s v="F0100"/>
    <s v="A0005"/>
    <s v="T9679"/>
    <s v="FDA2B40E79CE7320239222101519299922"/>
  </r>
  <r>
    <n v="5478"/>
    <s v="F0100 - CORPORATE FUND"/>
    <s v="City Development"/>
    <x v="0"/>
    <s v="A0005 - SALARIES AND WAGES - ON PAYROLL"/>
    <x v="17"/>
    <s v="3EF80AD5153430"/>
    <s v=" SCHMITZ, MATTHEW M"/>
    <x v="4"/>
    <s v="D54"/>
    <s v="F0100"/>
    <s v="A0005"/>
    <s v="T9679"/>
    <s v="3EF80AD515343020239675254645186794"/>
  </r>
  <r>
    <n v="-237.79"/>
    <s v="F0100 - CORPORATE FUND"/>
    <s v="City Development"/>
    <x v="1"/>
    <s v="A0005 - SALARIES AND WAGES - ON PAYROLL"/>
    <x v="45"/>
    <s v="D1B553A9FE3B68"/>
    <s v=" DAFIAGHOR, ANSELL E"/>
    <x v="11"/>
    <s v="D21"/>
    <s v="F0100"/>
    <s v="A0005"/>
    <s v="T2915"/>
    <s v="D1B553A9FE3B68202310256814889834911"/>
  </r>
  <r>
    <n v="3166.5"/>
    <s v="F0100 - CORPORATE FUND"/>
    <s v="City Development"/>
    <x v="1"/>
    <s v="A0005 - SALARIES AND WAGES - ON PAYROLL"/>
    <x v="18"/>
    <s v="2CFFBB6B41AD02"/>
    <s v=" HILL, SAMANTHA"/>
    <x v="11"/>
    <s v="D21"/>
    <s v="F0100"/>
    <s v="A0005"/>
    <s v="T0802"/>
    <s v="2CFFBB6B41AD02202310501438971300237"/>
  </r>
  <r>
    <n v="200.2"/>
    <s v="F0100 - CORPORATE FUND"/>
    <s v="City Development"/>
    <x v="1"/>
    <s v="A0005 - SALARIES AND WAGES - ON PAYROLL"/>
    <x v="20"/>
    <s v="9B6AC3D17F92B5"/>
    <s v=" MERCADO, MIKAELA N"/>
    <x v="11"/>
    <s v="D21"/>
    <s v="F0100"/>
    <s v="A0005"/>
    <s v="T0404"/>
    <s v="9B6AC3D17F92B5202310108428018279185"/>
  </r>
  <r>
    <n v="3467"/>
    <s v="F0100 - CORPORATE FUND"/>
    <s v="City Development"/>
    <x v="0"/>
    <s v="A0005 - SALARIES AND WAGES - ON PAYROLL"/>
    <x v="24"/>
    <s v="03D778202FF215"/>
    <s v=" MICH, LUKE A"/>
    <x v="11"/>
    <s v="D54"/>
    <s v="F0100"/>
    <s v="A0005"/>
    <s v="T0310"/>
    <s v="03D778202FF215202310504362106552503"/>
  </r>
  <r>
    <n v="4541.5"/>
    <s v="F0100 - CORPORATE FUND"/>
    <s v="City Development"/>
    <x v="0"/>
    <s v="A0005 - SALARIES AND WAGES - ON PAYROLL"/>
    <x v="7"/>
    <s v="AF76F191B02EDD"/>
    <s v=" GAETA, JOSE O"/>
    <x v="11"/>
    <s v="D54"/>
    <s v="F0100"/>
    <s v="A0005"/>
    <s v="T1293"/>
    <s v="AF76F191B02EDD20231028595672019253"/>
  </r>
  <r>
    <n v="4423"/>
    <s v="F0100 - CORPORATE FUND"/>
    <s v="City Development"/>
    <x v="0"/>
    <s v="A0005 - SALARIES AND WAGES - ON PAYROLL"/>
    <x v="44"/>
    <s v="8F3FF33ABC1766"/>
    <s v=" SPERRY, HEIDI L"/>
    <x v="11"/>
    <s v="D54"/>
    <s v="F0100"/>
    <s v="A0005"/>
    <s v="T1408"/>
    <s v="8F3FF33ABC1766202310346408590742862"/>
  </r>
  <r>
    <n v="4444.5"/>
    <s v="F0100 - CORPORATE FUND"/>
    <s v="City Development"/>
    <x v="0"/>
    <s v="A0005 - SALARIES AND WAGES - ON PAYROLL"/>
    <x v="32"/>
    <s v="E8E9DEF8EB7E0B"/>
    <s v=" MARMO, MICHAEL A"/>
    <x v="11"/>
    <s v="D54"/>
    <s v="F0100"/>
    <s v="A0005"/>
    <s v="T1441"/>
    <s v="E8E9DEF8EB7E0B20231062656761910707"/>
  </r>
  <r>
    <n v="4579.5"/>
    <s v="F0100 - CORPORATE FUND"/>
    <s v="City Development"/>
    <x v="1"/>
    <s v="A0005 - SALARIES AND WAGES - ON PAYROLL"/>
    <x v="37"/>
    <s v="35FA5F14BDD99A"/>
    <s v=" ALSAMMARAE, RIMA A"/>
    <x v="5"/>
    <s v="D21"/>
    <s v="F0100"/>
    <s v="A0005"/>
    <s v="T0705"/>
    <s v="35FA5F14BDD99A202311850928373826344"/>
  </r>
  <r>
    <n v="5047.5"/>
    <s v="F0100 - CORPORATE FUND"/>
    <s v="Public Safety"/>
    <x v="2"/>
    <s v="A0005 - SALARIES AND WAGES - ON PAYROLL"/>
    <x v="46"/>
    <s v="539E97E20B38C0"/>
    <s v=" SKELLY, THOMAS W"/>
    <x v="12"/>
    <s v="D57"/>
    <s v="F0100"/>
    <s v="A0005"/>
    <s v="T9165"/>
    <s v="539E97E20B38C0202319626442125047917"/>
  </r>
  <r>
    <n v="4665.25"/>
    <s v="F0100 - CORPORATE FUND"/>
    <s v="Public Safety"/>
    <x v="2"/>
    <s v="A0005 - SALARIES AND WAGES - ON PAYROLL"/>
    <x v="14"/>
    <s v="CB642C1941B93D"/>
    <s v=" SMITH, REGGIE"/>
    <x v="13"/>
    <s v="D57"/>
    <s v="F0100"/>
    <s v="A0005"/>
    <s v="T9161"/>
    <s v="CB642C1941B93D202318452718445257209"/>
  </r>
  <r>
    <n v="4571"/>
    <s v="F0100 - CORPORATE FUND"/>
    <s v="Public Safety"/>
    <x v="2"/>
    <s v="A0005 - SALARIES AND WAGES - ON PAYROLL"/>
    <x v="46"/>
    <s v="6A5E655302430D"/>
    <s v=" ROONEY, SCOTT"/>
    <x v="14"/>
    <s v="D57"/>
    <s v="F0100"/>
    <s v="A0005"/>
    <s v="T9165"/>
    <s v="6A5E655302430D202316577242081374182"/>
  </r>
  <r>
    <n v="650"/>
    <s v="F0100 - CORPORATE FUND"/>
    <s v="Public Safety"/>
    <x v="2"/>
    <s v="A0091 - UNIFORM ALLOWANCE"/>
    <x v="46"/>
    <s v="7DE180F44110A7"/>
    <s v=" SALVAGE III, FRANK A"/>
    <x v="15"/>
    <s v="D57"/>
    <s v="F0100"/>
    <s v="A0091"/>
    <s v="T9165"/>
    <s v="7DE180F44110A7202322202965306544376"/>
  </r>
  <r>
    <n v="3521.75"/>
    <s v="F0100 - CORPORATE FUND"/>
    <s v="Public Safety"/>
    <x v="2"/>
    <s v="A0005 - SALARIES AND WAGES - ON PAYROLL"/>
    <x v="14"/>
    <s v="A10A5B5DAABA5D"/>
    <s v=" GOCHEE, RAYMOND W"/>
    <x v="15"/>
    <s v="D57"/>
    <s v="F0100"/>
    <s v="A0005"/>
    <s v="T9161"/>
    <s v="A10A5B5DAABA5D202322386722009526984"/>
  </r>
  <r>
    <n v="235.8"/>
    <s v="F0610 - CHICAGO MIDWAY AIRPORT FUND"/>
    <s v="Infrastructure Services"/>
    <x v="5"/>
    <s v="A0020 - OVERTIME"/>
    <x v="47"/>
    <s v="2DB9600893CC5D"/>
    <s v=" BELLEL, KAFI N"/>
    <x v="6"/>
    <s v="D85"/>
    <s v="F0610"/>
    <s v="A0020"/>
    <s v="T4210"/>
    <s v="2DB9600893CC5D2023570235712910939"/>
  </r>
  <r>
    <n v="3304.8"/>
    <s v="F0300 - VEHICLE TAX FUND"/>
    <s v="Infrastructure Services"/>
    <x v="6"/>
    <s v="A0005 - SALARIES AND WAGES - ON PAYROLL"/>
    <x v="48"/>
    <s v="EA0578ECCC11D5"/>
    <s v=" JOHNSON, DARIUS V"/>
    <x v="3"/>
    <s v="D84"/>
    <s v="F0300"/>
    <s v="A0005"/>
    <s v="T9539"/>
    <s v="EA0578ECCC11D520234631032901701835"/>
  </r>
  <r>
    <n v="1036.3599999999999"/>
    <s v="F0346 - LIBRARY FUND"/>
    <s v="Community Services"/>
    <x v="7"/>
    <s v="A0005 - SALARIES AND WAGES - ON PAYROLL"/>
    <x v="49"/>
    <s v="68D076053D4C69"/>
    <s v=" CLARK, PHYLLIS K"/>
    <x v="16"/>
    <s v="D91"/>
    <s v="F0346"/>
    <s v="A0005"/>
    <s v="T0446"/>
    <s v="68D076053D4C69202313745021071861921"/>
  </r>
  <r>
    <n v="769.44"/>
    <s v="F0J49 - CDBG"/>
    <s v="Regulatory"/>
    <x v="8"/>
    <s v="A0005 - SALARIES AND WAGES - ON PAYROLL"/>
    <x v="50"/>
    <s v="EDC5A9868AF6D4"/>
    <s v=" VASQUEZ, JESUS"/>
    <x v="7"/>
    <s v="D67"/>
    <s v="F0J49"/>
    <s v="A0005"/>
    <s v="T2150"/>
    <s v="EDC5A9868AF6D42023626339419191825"/>
  </r>
  <r>
    <n v="180.08"/>
    <s v="FG115 - EARLY HEAD START - CHILD CARE PARTNERSHP"/>
    <s v="Community Services"/>
    <x v="9"/>
    <s v="A0005 - SALARIES AND WAGES - ON PAYROLL"/>
    <x v="51"/>
    <s v="367BF14180EC73"/>
    <s v=" LOPEZ, TERESA"/>
    <x v="13"/>
    <s v="D50"/>
    <s v="FG115"/>
    <s v="A0005"/>
    <s v="T0110"/>
    <s v="367BF14180EC7320231858762302923047"/>
  </r>
  <r>
    <n v="3932"/>
    <s v="F0353 - EMERGENCY COMMUNICATION FUND"/>
    <s v="Public Safety"/>
    <x v="10"/>
    <s v="A0005 - SALARIES AND WAGES - ON PAYROLL"/>
    <x v="52"/>
    <s v="88774EB866F7EA"/>
    <s v=" LANHAM CASARES, MARY M"/>
    <x v="14"/>
    <s v="D58"/>
    <s v="F0353"/>
    <s v="A0005"/>
    <s v="T8601"/>
    <s v="88774EB866F7EA202316923064467907176"/>
  </r>
  <r>
    <n v="950"/>
    <s v="F0100 - CORPORATE FUND"/>
    <s v="Public Safety"/>
    <x v="3"/>
    <s v="A0022 - DUTY AVAILABILITY"/>
    <x v="53"/>
    <s v="4F0B0BA8885532"/>
    <s v=" HOJEK JR, COREY M"/>
    <x v="0"/>
    <s v="D59"/>
    <s v="F0100"/>
    <s v="A0022"/>
    <s v="T8802"/>
    <s v="4F0B0BA888553220231451368806455069"/>
  </r>
  <r>
    <n v="628.22"/>
    <s v="F0200 - WATER FUND"/>
    <s v="Infrastructure Services"/>
    <x v="11"/>
    <s v="A0020 - OVERTIME"/>
    <x v="54"/>
    <s v="9312515841525C"/>
    <s v=" HUERTA, JIM"/>
    <x v="7"/>
    <s v="D88"/>
    <s v="F0200"/>
    <s v="A0020"/>
    <s v="T7743"/>
    <s v="9312515841525C20236285759148463782"/>
  </r>
  <r>
    <n v="2090.25"/>
    <s v="F0100 - CORPORATE FUND"/>
    <s v="Public Safety"/>
    <x v="2"/>
    <s v="A0027 - SUPERVISORS QUARTERLY PAYMENT"/>
    <x v="55"/>
    <s v="61FEC523F41718"/>
    <s v=" HINDMAN, DORA M"/>
    <x v="17"/>
    <s v="D57"/>
    <s v="F0100"/>
    <s v="A0027"/>
    <s v="T9171"/>
    <s v="61FEC523F41718202312477974986205151"/>
  </r>
  <r>
    <n v="950"/>
    <s v="F0100 - CORPORATE FUND"/>
    <s v="Public Safety"/>
    <x v="2"/>
    <s v="A0022 - DUTY AVAILABILITY"/>
    <x v="14"/>
    <s v="4ABAEE545B0C64"/>
    <s v=" BATEY, BRIAN L"/>
    <x v="13"/>
    <s v="D57"/>
    <s v="F0100"/>
    <s v="A0022"/>
    <s v="T9161"/>
    <s v="4ABAEE545B0C6420231855109058436380"/>
  </r>
  <r>
    <n v="187.2"/>
    <s v="F0310 - MOTOR FUEL TAX FUND"/>
    <s v="Infrastructure Services"/>
    <x v="6"/>
    <s v="A0020 - OVERTIME"/>
    <x v="56"/>
    <s v="7C6DC512216645"/>
    <s v=" LEWIS, REGINALD A"/>
    <x v="5"/>
    <s v="D84"/>
    <s v="F0310"/>
    <s v="A0020"/>
    <s v="T8244"/>
    <s v="7C6DC512216645202311168044713666209"/>
  </r>
  <r>
    <n v="4903.75"/>
    <s v="F0100 - CORPORATE FUND"/>
    <s v="Public Safety"/>
    <x v="2"/>
    <s v="A0005 - SALARIES AND WAGES - ON PAYROLL"/>
    <x v="46"/>
    <s v="64FC89DCE5DFE2"/>
    <s v=" SHAMAH, MOHAMMAD K"/>
    <x v="18"/>
    <s v="D57"/>
    <s v="F0100"/>
    <s v="A0005"/>
    <s v="T9165"/>
    <s v="64FC89DCE5DFE2202314523882672872812"/>
  </r>
  <r>
    <n v="1318.8"/>
    <s v="F0100 - CORPORATE FUND"/>
    <s v="Infrastructure Services"/>
    <x v="12"/>
    <s v="A0005 - SALARIES AND WAGES - ON PAYROLL"/>
    <x v="57"/>
    <s v="0AC48D5FA29620"/>
    <s v=" PERKINS, JAZZMINE E"/>
    <x v="3"/>
    <s v="D81"/>
    <s v="F0100"/>
    <s v="A0005"/>
    <s v="T7184"/>
    <s v="0AC48D5FA2962020234769523590248203"/>
  </r>
  <r>
    <n v="832.33"/>
    <s v="F0740 - CHICAGO O'HARE AIRPORT FUND"/>
    <s v="Infrastructure Services"/>
    <x v="5"/>
    <s v="A0020 - OVERTIME"/>
    <x v="58"/>
    <s v="DC60EE3A45CEDE"/>
    <s v=" NORDSTROM, MICHAEL A"/>
    <x v="6"/>
    <s v="D85"/>
    <s v="F0740"/>
    <s v="A0020"/>
    <s v="T7021"/>
    <s v="DC60EE3A45CEDE20235593499402211488"/>
  </r>
  <r>
    <n v="950"/>
    <s v="F0100 - CORPORATE FUND"/>
    <s v="Public Safety"/>
    <x v="2"/>
    <s v="A0022 - DUTY AVAILABILITY"/>
    <x v="14"/>
    <s v="8CADA94B037B7A"/>
    <s v=" GUNTER, ZARAK D"/>
    <x v="9"/>
    <s v="D57"/>
    <s v="F0100"/>
    <s v="A0022"/>
    <s v="T9161"/>
    <s v="8CADA94B037B7A202324829591892892939"/>
  </r>
  <r>
    <n v="471"/>
    <s v="F0100 - CORPORATE FUND"/>
    <s v="Infrastructure Services"/>
    <x v="12"/>
    <s v="A0020 - OVERTIME"/>
    <x v="57"/>
    <s v="A2C645335CB754"/>
    <s v=" THOMAS, LUTHER"/>
    <x v="3"/>
    <s v="D81"/>
    <s v="F0100"/>
    <s v="A0020"/>
    <s v="T7184"/>
    <s v="A2C645335CB7542023469464114922695"/>
  </r>
  <r>
    <n v="96.53"/>
    <s v="F0100 - CORPORATE FUND"/>
    <s v="Public Safety"/>
    <x v="2"/>
    <s v="A0020 - OVERTIME"/>
    <x v="55"/>
    <s v="8A10AA7B540BB1"/>
    <s v=" HUSSEY, THOMAS R"/>
    <x v="14"/>
    <s v="D57"/>
    <s v="F0100"/>
    <s v="A0020"/>
    <s v="T9171"/>
    <s v="8A10AA7B540BB1202316480993669673375"/>
  </r>
  <r>
    <n v="3857.28"/>
    <s v="F0300 - VEHICLE TAX FUND"/>
    <s v="Infrastructure Services"/>
    <x v="12"/>
    <s v="A0005 - SALARIES AND WAGES - ON PAYROLL"/>
    <x v="59"/>
    <s v="420CF8457C1307"/>
    <s v=" RIVERA, JOSE A"/>
    <x v="1"/>
    <s v="D81"/>
    <s v="F0300"/>
    <s v="A0005"/>
    <s v="T6324"/>
    <s v="420CF8457C130720232670920685429486"/>
  </r>
  <r>
    <n v="2090.25"/>
    <s v="F0100 - CORPORATE FUND"/>
    <s v="Public Safety"/>
    <x v="2"/>
    <s v="A0027 - SUPERVISORS QUARTERLY PAYMENT"/>
    <x v="55"/>
    <s v="ECAFA3BB301072"/>
    <s v=" LEYDEN, PATRICK W"/>
    <x v="9"/>
    <s v="D57"/>
    <s v="F0100"/>
    <s v="A0027"/>
    <s v="T9171"/>
    <s v="ECAFA3BB301072202324201987867528633"/>
  </r>
  <r>
    <n v="423.93"/>
    <s v="F0100 - CORPORATE FUND"/>
    <s v="Public Safety"/>
    <x v="2"/>
    <s v="A0020 - OVERTIME"/>
    <x v="14"/>
    <s v="18737E1904063E"/>
    <s v=" GARCIA, GABRIEL"/>
    <x v="2"/>
    <s v="D57"/>
    <s v="F0100"/>
    <s v="A0020"/>
    <s v="T9161"/>
    <s v="18737E1904063E20233675511282642908"/>
  </r>
  <r>
    <n v="3437.5"/>
    <s v="F0100 - CORPORATE FUND"/>
    <s v="Infrastructure Services"/>
    <x v="6"/>
    <s v="A0005 - SALARIES AND WAGES - ON PAYROLL"/>
    <x v="60"/>
    <s v="DBD490C8C34871"/>
    <s v=" TOLSTON, SHERYL R"/>
    <x v="14"/>
    <s v="D84"/>
    <s v="F0100"/>
    <s v="A0005"/>
    <s v="T0431"/>
    <s v="DBD490C8C34871202316233836013760657"/>
  </r>
  <r>
    <n v="207.21"/>
    <s v="F0100 - CORPORATE FUND"/>
    <s v="Public Safety"/>
    <x v="2"/>
    <s v="A0021 - SWORN/CIVILIAN HOLIDAY PREMIUM PAY"/>
    <x v="14"/>
    <s v="5C5E3D9C1A697D"/>
    <s v=" DIXON, MARLON L"/>
    <x v="2"/>
    <s v="D57"/>
    <s v="F0100"/>
    <s v="A0021"/>
    <s v="T9161"/>
    <s v="5C5E3D9C1A697D2023377843331275810"/>
  </r>
  <r>
    <n v="275.39999999999998"/>
    <s v="F0300 - VEHICLE TAX FUND"/>
    <s v="Infrastructure Services"/>
    <x v="6"/>
    <s v="A0020 - OVERTIME"/>
    <x v="48"/>
    <s v="1C1E0006BB86EE"/>
    <s v=" GRECO, JOSEPH"/>
    <x v="8"/>
    <s v="D84"/>
    <s v="F0300"/>
    <s v="A0020"/>
    <s v="T9539"/>
    <s v="1C1E0006BB86EE2023798823403139831"/>
  </r>
  <r>
    <n v="56.16"/>
    <s v="F0740 - CHICAGO O'HARE AIRPORT FUND"/>
    <s v="Public Safety"/>
    <x v="3"/>
    <s v="A0061 - DRIVER'S DIFFERENTIAL"/>
    <x v="28"/>
    <s v="AA68DEBBA3255A"/>
    <s v=" TRIGSTED, DALE R"/>
    <x v="8"/>
    <s v="D59"/>
    <s v="F0740"/>
    <s v="A0061"/>
    <s v="T8801"/>
    <s v="AA68DEBBA3255A20237783200801051898"/>
  </r>
  <r>
    <n v="627.82000000000005"/>
    <s v="F0100 - CORPORATE FUND"/>
    <s v="Public Safety"/>
    <x v="2"/>
    <s v="A0032 - REIMBURSABLE OVERTIME"/>
    <x v="14"/>
    <s v="DFA6E3F9AAD313"/>
    <s v=" DE JESUS, EMILY"/>
    <x v="19"/>
    <s v="D57"/>
    <s v="F0100"/>
    <s v="A0032"/>
    <s v="T9161"/>
    <s v="DFA6E3F9AAD313202321280617845172942"/>
  </r>
  <r>
    <n v="350"/>
    <s v="F0100 - CORPORATE FUND"/>
    <s v="Public Safety"/>
    <x v="2"/>
    <s v="A0060 - SPECIALTY PAY"/>
    <x v="14"/>
    <s v="23FE7B15993027"/>
    <s v=" COLLINS, BRIAN"/>
    <x v="15"/>
    <s v="D57"/>
    <s v="F0100"/>
    <s v="A0060"/>
    <s v="T9161"/>
    <s v="23FE7B15993027202322126761660796397"/>
  </r>
  <r>
    <n v="912.24"/>
    <s v="F0100 - CORPORATE FUND"/>
    <s v="Finance and Administration"/>
    <x v="4"/>
    <s v="A0020 - OVERTIME"/>
    <x v="61"/>
    <s v="A1B8BB56CC694C"/>
    <s v=" DOMINGUEZ, ALFREDO"/>
    <x v="20"/>
    <s v="D38"/>
    <s v="F0100"/>
    <s v="A0020"/>
    <s v="T6673"/>
    <s v="A1B8BB56CC694C202317842633888069003"/>
  </r>
  <r>
    <n v="4372.25"/>
    <s v="F0100 - CORPORATE FUND"/>
    <s v="Public Safety"/>
    <x v="2"/>
    <s v="A0005 - SALARIES AND WAGES - ON PAYROLL"/>
    <x v="14"/>
    <s v="BC9DD1FA1D58E4"/>
    <s v=" WILLIAMS, MARVIN J"/>
    <x v="20"/>
    <s v="D57"/>
    <s v="F0100"/>
    <s v="A0005"/>
    <s v="T9161"/>
    <s v="BC9DD1FA1D58E4202317857346642315157"/>
  </r>
  <r>
    <n v="3521.75"/>
    <s v="F0100 - CORPORATE FUND"/>
    <s v="Public Safety"/>
    <x v="2"/>
    <s v="A0005 - SALARIES AND WAGES - ON PAYROLL"/>
    <x v="14"/>
    <s v="A10A5B5DAABA5D"/>
    <s v=" GOCHEE, RAYMOND W"/>
    <x v="11"/>
    <s v="D57"/>
    <s v="F0100"/>
    <s v="A0005"/>
    <s v="T9161"/>
    <s v="A10A5B5DAABA5D202310427598000303591"/>
  </r>
  <r>
    <n v="1176.9000000000001"/>
    <s v="F0100 - CORPORATE FUND"/>
    <s v="Public Safety"/>
    <x v="3"/>
    <s v="A0060 - SPECIALTY PAY"/>
    <x v="28"/>
    <s v="449AB074BAAB06"/>
    <s v=" COYLE, MICHAEL D"/>
    <x v="8"/>
    <s v="D59"/>
    <s v="F0100"/>
    <s v="A0060"/>
    <s v="T8801"/>
    <s v="449AB074BAAB0620237228612696808201"/>
  </r>
  <r>
    <n v="3644.16"/>
    <s v="F0200 - WATER FUND"/>
    <s v="Infrastructure Services"/>
    <x v="11"/>
    <s v="A0005 - SALARIES AND WAGES - ON PAYROLL"/>
    <x v="62"/>
    <s v="CD46CEF4319D8C"/>
    <s v=" NETTLES, CLARA J"/>
    <x v="11"/>
    <s v="D88"/>
    <s v="F0200"/>
    <s v="A0005"/>
    <s v="T7775"/>
    <s v="CD46CEF4319D8C202310298478898965977"/>
  </r>
  <r>
    <n v="4225.5"/>
    <s v="F0100 - CORPORATE FUND"/>
    <s v="Public Safety"/>
    <x v="2"/>
    <s v="A0005 - SALARIES AND WAGES - ON PAYROLL"/>
    <x v="14"/>
    <s v="30B3E1FD1B9F08"/>
    <s v=" KRISKE, SHAUN"/>
    <x v="15"/>
    <s v="D57"/>
    <s v="F0100"/>
    <s v="A0005"/>
    <s v="T9161"/>
    <s v="30B3E1FD1B9F08202322380094766006150"/>
  </r>
  <r>
    <n v="650"/>
    <s v="F0100 - CORPORATE FUND"/>
    <s v="Public Safety"/>
    <x v="2"/>
    <s v="A0091 - UNIFORM ALLOWANCE"/>
    <x v="14"/>
    <s v="057DE2B5E99E97"/>
    <s v=" JACKSON, MATTHEW C"/>
    <x v="15"/>
    <s v="D57"/>
    <s v="F0100"/>
    <s v="A0091"/>
    <s v="T9161"/>
    <s v="057DE2B5E99E97202322410197055474439"/>
  </r>
  <r>
    <n v="4232.5"/>
    <s v="F0B21 - TAX INCREMENT FINANCING ADMINISTRATION FUND"/>
    <s v="City Development"/>
    <x v="0"/>
    <s v="A0005 - SALARIES AND WAGES - ON PAYROLL"/>
    <x v="30"/>
    <s v="7C635169C1F796"/>
    <s v=" ARCE, RAMONA"/>
    <x v="3"/>
    <s v="D54"/>
    <s v="F0B21"/>
    <s v="A0005"/>
    <s v="T1437"/>
    <s v="7C635169C1F79620234865621590894540"/>
  </r>
  <r>
    <n v="5234.75"/>
    <s v="F0100 - CORPORATE FUND"/>
    <s v="Public Safety"/>
    <x v="2"/>
    <s v="A0005 - SALARIES AND WAGES - ON PAYROLL"/>
    <x v="55"/>
    <s v="C852CFAE412E25"/>
    <s v=" HURLEY, MICHAEL B"/>
    <x v="11"/>
    <s v="D57"/>
    <s v="F0100"/>
    <s v="A0005"/>
    <s v="T9171"/>
    <s v="C852CFAE412E25202310356928182941136"/>
  </r>
  <r>
    <n v="2357.9899999999998"/>
    <s v="F0100 - CORPORATE FUND"/>
    <s v="Public Safety"/>
    <x v="3"/>
    <s v="A0020 - OVERTIME"/>
    <x v="63"/>
    <s v="9888536C4E1AE5"/>
    <s v=" HOWE, MELANIE L"/>
    <x v="10"/>
    <s v="D59"/>
    <s v="F0100"/>
    <s v="A0020"/>
    <s v="T8745"/>
    <s v="9888536C4E1AE520238862756438806093"/>
  </r>
  <r>
    <n v="961.48"/>
    <s v="F0353 - EMERGENCY COMMUNICATION FUND"/>
    <s v="Public Safety"/>
    <x v="10"/>
    <s v="A0020 - OVERTIME"/>
    <x v="52"/>
    <s v="37D7E0510AF2BB"/>
    <s v=" LYONS, AMY B"/>
    <x v="8"/>
    <s v="D58"/>
    <s v="F0353"/>
    <s v="A0020"/>
    <s v="T8601"/>
    <s v="37D7E0510AF2BB20237959530634794866"/>
  </r>
  <r>
    <n v="950"/>
    <s v="F0100 - CORPORATE FUND"/>
    <s v="Public Safety"/>
    <x v="2"/>
    <s v="A0022 - DUTY AVAILABILITY"/>
    <x v="14"/>
    <s v="04D6031C5A39A9"/>
    <s v=" PONCE, CARLOS A"/>
    <x v="7"/>
    <s v="D57"/>
    <s v="F0100"/>
    <s v="A0022"/>
    <s v="T9161"/>
    <s v="04D6031C5A39A920236662709474597399"/>
  </r>
  <r>
    <n v="2501.17"/>
    <s v="F0100 - CORPORATE FUND"/>
    <s v="Public Safety"/>
    <x v="3"/>
    <s v="A0020 - OVERTIME"/>
    <x v="64"/>
    <s v="96C2C7B783B3FD"/>
    <s v=" KUBIK, JOSEPH T"/>
    <x v="20"/>
    <s v="D59"/>
    <s v="F0100"/>
    <s v="A0020"/>
    <s v="T8817"/>
    <s v="96C2C7B783B3FD202317382576845655852"/>
  </r>
  <r>
    <n v="151.91999999999999"/>
    <s v="F0100 - CORPORATE FUND"/>
    <s v="Public Safety"/>
    <x v="3"/>
    <s v="A0061 - DRIVER'S DIFFERENTIAL"/>
    <x v="53"/>
    <s v="3F29A4DD1D8909"/>
    <s v=" JERANTOWSKI, BRAD J"/>
    <x v="1"/>
    <s v="D59"/>
    <s v="F0100"/>
    <s v="A0061"/>
    <s v="T8802"/>
    <s v="3F29A4DD1D890920232302781974285095"/>
  </r>
  <r>
    <n v="4225.5"/>
    <s v="F0100 - CORPORATE FUND"/>
    <s v="Public Safety"/>
    <x v="2"/>
    <s v="A0005 - SALARIES AND WAGES - ON PAYROLL"/>
    <x v="14"/>
    <s v="EB736398E87682"/>
    <s v=" PHAM, JOHN"/>
    <x v="3"/>
    <s v="D57"/>
    <s v="F0100"/>
    <s v="A0005"/>
    <s v="T9161"/>
    <s v="EB736398E8768220234699655328426414"/>
  </r>
  <r>
    <n v="6323.5"/>
    <s v="F0100 - CORPORATE FUND"/>
    <s v="Public Safety"/>
    <x v="3"/>
    <s v="A0005 - SALARIES AND WAGES - ON PAYROLL"/>
    <x v="64"/>
    <s v="1DC5283AFD4FC9"/>
    <s v=" WIZGIRD, DOMINIC J"/>
    <x v="21"/>
    <s v="D59"/>
    <s v="F0100"/>
    <s v="A0005"/>
    <s v="T8817"/>
    <s v="1DC5283AFD4FC9202315553564874742152"/>
  </r>
  <r>
    <n v="677.6"/>
    <s v="F0346 - LIBRARY FUND"/>
    <s v="Community Services"/>
    <x v="7"/>
    <s v="A0005 - SALARIES AND WAGES - ON PAYROLL"/>
    <x v="65"/>
    <s v="6F069FF9F9854D"/>
    <s v=" HANSEN, JACOB A"/>
    <x v="0"/>
    <s v="D91"/>
    <s v="F0346"/>
    <s v="A0005"/>
    <s v="T0539"/>
    <s v="6F069FF9F9854D20231389926067560844"/>
  </r>
  <r>
    <n v="88"/>
    <s v="F0310 - MOTOR FUEL TAX FUND"/>
    <s v="Infrastructure Services"/>
    <x v="6"/>
    <s v="A0005 - SALARIES AND WAGES - ON PAYROLL"/>
    <x v="66"/>
    <s v="0C3CB959586EDC"/>
    <s v=" DOYLE, SEAN M"/>
    <x v="14"/>
    <s v="D84"/>
    <s v="F0310"/>
    <s v="A0005"/>
    <s v="T5088"/>
    <s v="0C3CB959586EDC202316961783589343118"/>
  </r>
  <r>
    <n v="6263.25"/>
    <s v="F0100 - CORPORATE FUND"/>
    <s v="Public Safety"/>
    <x v="2"/>
    <s v="A0005 - SALARIES AND WAGES - ON PAYROLL"/>
    <x v="67"/>
    <s v="B93A27CBF7C333"/>
    <s v=" SHINE, DANIEL K"/>
    <x v="4"/>
    <s v="D57"/>
    <s v="F0100"/>
    <s v="A0005"/>
    <s v="T9173"/>
    <s v="B93A27CBF7C33320239558780488716692"/>
  </r>
  <r>
    <n v="883.13"/>
    <s v="F0100 - CORPORATE FUND"/>
    <s v="Infrastructure Services"/>
    <x v="12"/>
    <s v="A0020 - OVERTIME"/>
    <x v="68"/>
    <s v="24CD89A906A57F"/>
    <s v=" MACIAS, LUIS"/>
    <x v="20"/>
    <s v="D81"/>
    <s v="F0100"/>
    <s v="A0020"/>
    <s v="T7183"/>
    <s v="24CD89A906A57F202317477319601823383"/>
  </r>
  <r>
    <n v="1934"/>
    <s v="F0100 - CORPORATE FUND"/>
    <s v="Regulatory"/>
    <x v="13"/>
    <s v="A0005 - SALARIES AND WAGES - ON PAYROLL"/>
    <x v="69"/>
    <s v="4693020950B8D6"/>
    <s v=" RUBIO, JOSE I"/>
    <x v="6"/>
    <s v="D73"/>
    <s v="F0100"/>
    <s v="A0005"/>
    <s v="T3496"/>
    <s v="4693020950B8D62023573278034364638"/>
  </r>
  <r>
    <n v="4082.25"/>
    <s v="F0100 - CORPORATE FUND"/>
    <s v="Public Safety"/>
    <x v="2"/>
    <s v="A0005 - SALARIES AND WAGES - ON PAYROLL"/>
    <x v="14"/>
    <s v="F25F9BADA0E521"/>
    <s v=" HOPKINS, TINA"/>
    <x v="21"/>
    <s v="D57"/>
    <s v="F0100"/>
    <s v="A0005"/>
    <s v="T9161"/>
    <s v="F25F9BADA0E521202315365428560221143"/>
  </r>
  <r>
    <n v="4903.75"/>
    <s v="F0100 - CORPORATE FUND"/>
    <s v="Public Safety"/>
    <x v="2"/>
    <s v="A0005 - SALARIES AND WAGES - ON PAYROLL"/>
    <x v="46"/>
    <s v="EE28C1D017440C"/>
    <s v=" SCHEJBAL, WILLIAM E"/>
    <x v="18"/>
    <s v="D57"/>
    <s v="F0100"/>
    <s v="A0005"/>
    <s v="T9165"/>
    <s v="EE28C1D017440C202314603127935435207"/>
  </r>
  <r>
    <n v="4372.25"/>
    <s v="F0100 - CORPORATE FUND"/>
    <s v="Public Safety"/>
    <x v="2"/>
    <s v="A0005 - SALARIES AND WAGES - ON PAYROLL"/>
    <x v="14"/>
    <s v="D66B216626822D"/>
    <s v=" METTE, MICHAEL A"/>
    <x v="11"/>
    <s v="D57"/>
    <s v="F0100"/>
    <s v="A0005"/>
    <s v="T9161"/>
    <s v="D66B216626822D20231080875911478473"/>
  </r>
  <r>
    <n v="4082.25"/>
    <s v="F0100 - CORPORATE FUND"/>
    <s v="Public Safety"/>
    <x v="2"/>
    <s v="A0005 - SALARIES AND WAGES - ON PAYROLL"/>
    <x v="14"/>
    <s v="08FC7D1F4F26F9"/>
    <s v=" VILLANUEVA, SALVADOR J"/>
    <x v="21"/>
    <s v="D57"/>
    <s v="F0100"/>
    <s v="A0005"/>
    <s v="T9161"/>
    <s v="08FC7D1F4F26F9202315747319599680149"/>
  </r>
  <r>
    <n v="159.12"/>
    <s v="F0100 - CORPORATE FUND"/>
    <s v="Public Safety"/>
    <x v="3"/>
    <s v="A0061 - DRIVER'S DIFFERENTIAL"/>
    <x v="70"/>
    <s v="4D4D7CBD606F82"/>
    <s v=" RODRIGUEZ JR, JAIME"/>
    <x v="19"/>
    <s v="D59"/>
    <s v="F0100"/>
    <s v="A0061"/>
    <s v="T8750"/>
    <s v="4D4D7CBD606F82202321351174527383985"/>
  </r>
  <r>
    <n v="4571"/>
    <s v="F0100 - CORPORATE FUND"/>
    <s v="Public Safety"/>
    <x v="2"/>
    <s v="A0005 - SALARIES AND WAGES - ON PAYROLL"/>
    <x v="46"/>
    <s v="0C71850EC6A8DA"/>
    <s v=" RILEY, J'MAL"/>
    <x v="12"/>
    <s v="D57"/>
    <s v="F0100"/>
    <s v="A0005"/>
    <s v="T9165"/>
    <s v="0C71850EC6A8DA202319635578485971727"/>
  </r>
  <r>
    <n v="3672"/>
    <s v="F0310 - MOTOR FUEL TAX FUND"/>
    <s v="Infrastructure Services"/>
    <x v="6"/>
    <s v="A0005 - SALARIES AND WAGES - ON PAYROLL"/>
    <x v="71"/>
    <s v="F007DFBDC4A19B"/>
    <s v=" CENTENO, JESUS M"/>
    <x v="8"/>
    <s v="D84"/>
    <s v="F0310"/>
    <s v="A0005"/>
    <s v="T9411"/>
    <s v="F007DFBDC4A19B2023788995670371331"/>
  </r>
  <r>
    <n v="2589"/>
    <s v="F0100 - CORPORATE FUND"/>
    <s v="Finance and Administration"/>
    <x v="14"/>
    <s v="A0005 - SALARIES AND WAGES - ON PAYROLL"/>
    <x v="72"/>
    <s v="AA20D0CA2A4F44"/>
    <s v=" RIOS, CANDACE M"/>
    <x v="21"/>
    <s v="D27"/>
    <s v="F0100"/>
    <s v="A0005"/>
    <s v="T7482"/>
    <s v="AA20D0CA2A4F44202315450376005302745"/>
  </r>
  <r>
    <n v="522.6"/>
    <s v="F0353 - EMERGENCY COMMUNICATION FUND"/>
    <s v="Public Safety"/>
    <x v="10"/>
    <s v="A0020 - OVERTIME"/>
    <x v="73"/>
    <s v="D27BA3F19FE80F"/>
    <s v=" ROBINSON, PAPRICE A"/>
    <x v="0"/>
    <s v="D58"/>
    <s v="F0353"/>
    <s v="A0020"/>
    <s v="T8602"/>
    <s v="D27BA3F19FE80F20231833517396847745"/>
  </r>
  <r>
    <n v="4287.75"/>
    <s v="F0100 - CORPORATE FUND"/>
    <s v="Public Safety"/>
    <x v="2"/>
    <s v="A0005 - SALARIES AND WAGES - ON PAYROLL"/>
    <x v="74"/>
    <s v="8BDABA3D44B432"/>
    <s v=" RUSSELL, FELICIA"/>
    <x v="18"/>
    <s v="D57"/>
    <s v="F0100"/>
    <s v="A0005"/>
    <s v="T9164"/>
    <s v="8BDABA3D44B43220231436570780109056"/>
  </r>
  <r>
    <n v="4121"/>
    <s v="F0100 - CORPORATE FUND"/>
    <s v="Public Safety"/>
    <x v="3"/>
    <s v="A0005 - SALARIES AND WAGES - ON PAYROLL"/>
    <x v="28"/>
    <s v="CB16417B58153C"/>
    <s v=" HERMES, MARK J"/>
    <x v="17"/>
    <s v="D59"/>
    <s v="F0100"/>
    <s v="A0005"/>
    <s v="T8801"/>
    <s v="CB16417B58153C202312765056796780000"/>
  </r>
  <r>
    <n v="4982.5"/>
    <s v="F0100 - CORPORATE FUND"/>
    <s v="Finance and Administration"/>
    <x v="14"/>
    <s v="A0005 - SALARIES AND WAGES - ON PAYROLL"/>
    <x v="75"/>
    <s v="390A73E9014727"/>
    <s v=" ALAM, SYED S"/>
    <x v="12"/>
    <s v="D27"/>
    <s v="F0100"/>
    <s v="A0005"/>
    <s v="T1576"/>
    <s v="390A73E9014727202319750868841004729"/>
  </r>
  <r>
    <n v="324.98"/>
    <s v="F0100 - CORPORATE FUND"/>
    <s v="Public Safety"/>
    <x v="3"/>
    <s v="A0020 - OVERTIME"/>
    <x v="70"/>
    <n v="2884670000000"/>
    <s v=" BADZIOCH, KRISTEN N"/>
    <x v="5"/>
    <s v="D59"/>
    <s v="F0100"/>
    <s v="A0020"/>
    <s v="T8750"/>
    <n v="2.8846699999999999E+33"/>
  </r>
  <r>
    <n v="3347.5"/>
    <s v="F0100 - CORPORATE FUND"/>
    <s v="Public Safety"/>
    <x v="2"/>
    <s v="A0005 - SALARIES AND WAGES - ON PAYROLL"/>
    <x v="76"/>
    <s v="57D7B053682025"/>
    <s v=" WILSON, LACHANYA"/>
    <x v="22"/>
    <s v="D57"/>
    <s v="F0100"/>
    <s v="A0005"/>
    <s v="T1126"/>
    <s v="57D7B053682025202323933418015166748"/>
  </r>
  <r>
    <n v="423.93"/>
    <s v="F0100 - CORPORATE FUND"/>
    <s v="Public Safety"/>
    <x v="2"/>
    <s v="A0020 - OVERTIME"/>
    <x v="14"/>
    <s v="7EE2E42458F6AF"/>
    <s v=" VAZQUEZ, DAVE"/>
    <x v="2"/>
    <s v="D57"/>
    <s v="F0100"/>
    <s v="A0020"/>
    <s v="T9161"/>
    <s v="7EE2E42458F6AF2023388295394157998"/>
  </r>
  <r>
    <n v="1762.56"/>
    <s v="F0200 - WATER FUND"/>
    <s v="Infrastructure Services"/>
    <x v="11"/>
    <s v="A0005 - SALARIES AND WAGES - ON PAYROLL"/>
    <x v="77"/>
    <s v="75916C55A99653"/>
    <s v=" SANTIAGO, DANGELO L"/>
    <x v="2"/>
    <s v="D88"/>
    <s v="F0200"/>
    <s v="A0005"/>
    <s v="T9410"/>
    <s v="75916C55A9965320233748884639783407"/>
  </r>
  <r>
    <n v="58.08"/>
    <s v="F0100 - CORPORATE FUND"/>
    <s v="Public Safety"/>
    <x v="3"/>
    <s v="A0061 - DRIVER'S DIFFERENTIAL"/>
    <x v="28"/>
    <s v="F14D26AE7C5E42"/>
    <s v=" FINN, PATRICK T"/>
    <x v="1"/>
    <s v="D59"/>
    <s v="F0100"/>
    <s v="A0061"/>
    <s v="T8801"/>
    <s v="F14D26AE7C5E4220232176239808531430"/>
  </r>
  <r>
    <n v="155.97"/>
    <s v="F0740 - CHICAGO O'HARE AIRPORT FUND"/>
    <s v="Public Safety"/>
    <x v="3"/>
    <s v="A0020 - OVERTIME"/>
    <x v="28"/>
    <s v="A8D04F45DDDFC7"/>
    <s v=" GEMBALA, ROBERT M"/>
    <x v="2"/>
    <s v="D59"/>
    <s v="F0740"/>
    <s v="A0020"/>
    <s v="T8801"/>
    <s v="A8D04F45DDDFC72023322694413488957"/>
  </r>
  <r>
    <n v="-375.83"/>
    <s v="F0100 - CORPORATE FUND"/>
    <s v="City Development"/>
    <x v="0"/>
    <s v="A0005 - SALARIES AND WAGES - ON PAYROLL"/>
    <x v="16"/>
    <s v="23815B41C0825F"/>
    <s v=" MORENO, BRIAN K"/>
    <x v="0"/>
    <s v="D54"/>
    <s v="F0100"/>
    <s v="A0005"/>
    <s v="T1912"/>
    <s v="23815B41C0825F20231686512917279803"/>
  </r>
  <r>
    <n v="4659"/>
    <s v="F0100 - CORPORATE FUND"/>
    <s v="City Development"/>
    <x v="0"/>
    <s v="A0005 - SALARIES AND WAGES - ON PAYROLL"/>
    <x v="78"/>
    <s v="E9F7473D7C0761"/>
    <s v=" MOTA, ROSENDO"/>
    <x v="0"/>
    <s v="D54"/>
    <s v="F0100"/>
    <s v="A0005"/>
    <s v="T0111"/>
    <s v="E9F7473D7C076120231215755432937336"/>
  </r>
  <r>
    <n v="4534"/>
    <s v="F0100 - CORPORATE FUND"/>
    <s v="City Development"/>
    <x v="0"/>
    <s v="A0005 - SALARIES AND WAGES - ON PAYROLL"/>
    <x v="5"/>
    <s v="816FFCA85FAFED"/>
    <s v=" ROSCHEN, MARK E"/>
    <x v="0"/>
    <s v="D54"/>
    <s v="F0100"/>
    <s v="A0005"/>
    <s v="T0313"/>
    <s v="816FFCA85FAFED20231800683046880156"/>
  </r>
  <r>
    <n v="2657.5"/>
    <s v="F0100 - CORPORATE FUND"/>
    <s v="City Development"/>
    <x v="0"/>
    <s v="A0005 - SALARIES AND WAGES - ON PAYROLL"/>
    <x v="29"/>
    <s v="D55E0AE91386C5"/>
    <s v=" ALNASER, ANNA Y"/>
    <x v="0"/>
    <s v="D54"/>
    <s v="F0100"/>
    <s v="A0005"/>
    <s v="T1310"/>
    <s v="D55E0AE91386C520231839225258796796"/>
  </r>
  <r>
    <n v="4672"/>
    <s v="F0100 - CORPORATE FUND"/>
    <s v="City Development"/>
    <x v="0"/>
    <s v="A0005 - SALARIES AND WAGES - ON PAYROLL"/>
    <x v="32"/>
    <s v="DF76509694D2CF"/>
    <s v=" GLASS, ERIK L"/>
    <x v="0"/>
    <s v="D54"/>
    <s v="F0100"/>
    <s v="A0005"/>
    <s v="T1441"/>
    <s v="DF76509694D2CF20231475105184735698"/>
  </r>
  <r>
    <n v="4536"/>
    <s v="F0100 - CORPORATE FUND"/>
    <s v="City Development"/>
    <x v="0"/>
    <s v="A0005 - SALARIES AND WAGES - ON PAYROLL"/>
    <x v="11"/>
    <s v="197E06974C23C4"/>
    <s v=" ROBACK, BRADLEY G"/>
    <x v="0"/>
    <s v="D54"/>
    <s v="F0100"/>
    <s v="A0005"/>
    <s v="T1985"/>
    <s v="197E06974C23C42023118396422507956"/>
  </r>
  <r>
    <n v="5317"/>
    <s v="F0100 - CORPORATE FUND"/>
    <s v="City Development"/>
    <x v="0"/>
    <s v="A0005 - SALARIES AND WAGES - ON PAYROLL"/>
    <x v="17"/>
    <s v="FDA2B40E79CE73"/>
    <s v=" STRAZZABOSCO, PETER L"/>
    <x v="0"/>
    <s v="D54"/>
    <s v="F0100"/>
    <s v="A0005"/>
    <s v="T9679"/>
    <s v="FDA2B40E79CE7320231314356054483414"/>
  </r>
  <r>
    <n v="8123.5"/>
    <s v="F0100 - CORPORATE FUND"/>
    <s v="City Development"/>
    <x v="0"/>
    <s v="A0005 - SALARIES AND WAGES - ON PAYROLL"/>
    <x v="42"/>
    <s v="6F8880ACA0EE59"/>
    <s v=" COX, MAURICE D"/>
    <x v="0"/>
    <s v="D54"/>
    <s v="F0100"/>
    <s v="A0005"/>
    <s v="T9954"/>
    <s v="6F8880ACA0EE5920231447016332625491"/>
  </r>
  <r>
    <n v="3467"/>
    <s v="F0100 - CORPORATE FUND"/>
    <s v="City Development"/>
    <x v="1"/>
    <s v="A0005 - SALARIES AND WAGES - ON PAYROLL"/>
    <x v="24"/>
    <s v="F76D859E13FC1F"/>
    <s v=" O'CONNOR, STEPHANIE K"/>
    <x v="1"/>
    <s v="D21"/>
    <s v="F0100"/>
    <s v="A0005"/>
    <s v="T0310"/>
    <s v="F76D859E13FC1F20232671774774339348"/>
  </r>
  <r>
    <n v="4229.5"/>
    <s v="F0100 - CORPORATE FUND"/>
    <s v="City Development"/>
    <x v="1"/>
    <s v="A0005 - SALARIES AND WAGES - ON PAYROLL"/>
    <x v="24"/>
    <s v="0CE7E5BE6A6E31"/>
    <s v=" MUNGIN, WHITNI E"/>
    <x v="1"/>
    <s v="D21"/>
    <s v="F0100"/>
    <s v="A0005"/>
    <s v="T0310"/>
    <s v="0CE7E5BE6A6E3120232246297130864829"/>
  </r>
  <r>
    <n v="3556"/>
    <s v="F0100 - CORPORATE FUND"/>
    <s v="City Development"/>
    <x v="0"/>
    <s v="A0005 - SALARIES AND WAGES - ON PAYROLL"/>
    <x v="0"/>
    <s v="C1081EDB5EEAE1"/>
    <s v=" TACCAD, CLARIBEL"/>
    <x v="1"/>
    <s v="D54"/>
    <s v="F0100"/>
    <s v="A0005"/>
    <s v="T0109"/>
    <s v="C1081EDB5EEAE120232889498435339342"/>
  </r>
  <r>
    <n v="4423"/>
    <s v="F0100 - CORPORATE FUND"/>
    <s v="City Development"/>
    <x v="0"/>
    <s v="A0005 - SALARIES AND WAGES - ON PAYROLL"/>
    <x v="44"/>
    <s v="8F3FF33ABC1766"/>
    <s v=" SPERRY, HEIDI L"/>
    <x v="1"/>
    <s v="D54"/>
    <s v="F0100"/>
    <s v="A0005"/>
    <s v="T1408"/>
    <s v="8F3FF33ABC176620232523154186084324"/>
  </r>
  <r>
    <n v="3340.5"/>
    <s v="F0100 - CORPORATE FUND"/>
    <s v="City Development"/>
    <x v="0"/>
    <s v="A0005 - SALARIES AND WAGES - ON PAYROLL"/>
    <x v="3"/>
    <s v="FABEBFAD17362B"/>
    <s v=" BARTON, EMILY M"/>
    <x v="1"/>
    <s v="D54"/>
    <s v="F0100"/>
    <s v="A0005"/>
    <s v="T5402"/>
    <s v="FABEBFAD17362B20232484662715778089"/>
  </r>
  <r>
    <n v="5317"/>
    <s v="F0100 - CORPORATE FUND"/>
    <s v="City Development"/>
    <x v="0"/>
    <s v="A0005 - SALARIES AND WAGES - ON PAYROLL"/>
    <x v="17"/>
    <s v="FDA2B40E79CE73"/>
    <s v=" STRAZZABOSCO, PETER L"/>
    <x v="1"/>
    <s v="D54"/>
    <s v="F0100"/>
    <s v="A0005"/>
    <s v="T9679"/>
    <s v="FDA2B40E79CE7320232359435194702769"/>
  </r>
  <r>
    <n v="2206.5"/>
    <s v="F0100 - CORPORATE FUND"/>
    <s v="City Development"/>
    <x v="1"/>
    <s v="A0005 - SALARIES AND WAGES - ON PAYROLL"/>
    <x v="33"/>
    <s v="B997D21DD188D1"/>
    <s v=" WINDMON, HEATHER E"/>
    <x v="2"/>
    <s v="D21"/>
    <s v="F0100"/>
    <s v="A0005"/>
    <s v="T0366"/>
    <s v="B997D21DD188D120233931674447165693"/>
  </r>
  <r>
    <n v="6502.5"/>
    <s v="F0100 - CORPORATE FUND"/>
    <s v="City Development"/>
    <x v="1"/>
    <s v="A0005 - SALARIES AND WAGES - ON PAYROLL"/>
    <x v="19"/>
    <s v="B7A5D651A3EE74"/>
    <s v=" ESENBERG, BRYAN"/>
    <x v="2"/>
    <s v="D21"/>
    <s v="F0100"/>
    <s v="A0005"/>
    <s v="T9813"/>
    <s v="B7A5D651A3EE7420233114344462864207"/>
  </r>
  <r>
    <n v="485.1"/>
    <s v="F0100 - CORPORATE FUND"/>
    <s v="City Development"/>
    <x v="1"/>
    <s v="A0005 - SALARIES AND WAGES - ON PAYROLL"/>
    <x v="20"/>
    <s v="8EE1224B4A55ED"/>
    <s v=" RODRIGUEZ, JOCELYN"/>
    <x v="2"/>
    <s v="D21"/>
    <s v="F0100"/>
    <s v="A0005"/>
    <s v="T0404"/>
    <s v="8EE1224B4A55ED20233529162309193648"/>
  </r>
  <r>
    <n v="519.75"/>
    <s v="F0100 - CORPORATE FUND"/>
    <s v="City Development"/>
    <x v="1"/>
    <s v="A0005 - SALARIES AND WAGES - ON PAYROLL"/>
    <x v="20"/>
    <s v="120A7F5AF5A151"/>
    <s v=" PIERRE, LUDNA S"/>
    <x v="2"/>
    <s v="D21"/>
    <s v="F0100"/>
    <s v="A0005"/>
    <s v="T0404"/>
    <s v="120A7F5AF5A15120233139015909196889"/>
  </r>
  <r>
    <n v="3867.5"/>
    <s v="F0100 - CORPORATE FUND"/>
    <s v="City Development"/>
    <x v="0"/>
    <s v="A0005 - SALARIES AND WAGES - ON PAYROLL"/>
    <x v="24"/>
    <s v="875D1F5749F310"/>
    <s v=" MALAKPOUR, SOUSAN"/>
    <x v="2"/>
    <s v="D54"/>
    <s v="F0100"/>
    <s v="A0005"/>
    <s v="T0310"/>
    <s v="875D1F5749F31020233868771742115829"/>
  </r>
  <r>
    <n v="3902.5"/>
    <s v="F0100 - CORPORATE FUND"/>
    <s v="City Development"/>
    <x v="0"/>
    <s v="A0005 - SALARIES AND WAGES - ON PAYROLL"/>
    <x v="7"/>
    <s v="E6C53B81D58358"/>
    <s v=" DUPLAGA, ALICIA"/>
    <x v="2"/>
    <s v="D54"/>
    <s v="F0100"/>
    <s v="A0005"/>
    <s v="T1293"/>
    <s v="E6C53B81D5835820233684289900572117"/>
  </r>
  <r>
    <n v="3250"/>
    <s v="F0100 - CORPORATE FUND"/>
    <s v="City Development"/>
    <x v="0"/>
    <s v="A0005 - SALARIES AND WAGES - ON PAYROLL"/>
    <x v="2"/>
    <s v="C14B6B30C583A3"/>
    <s v=" HOLLAND, WILLIAM R"/>
    <x v="2"/>
    <s v="D54"/>
    <s v="F0100"/>
    <s v="A0005"/>
    <s v="T1405"/>
    <s v="C14B6B30C583A32023330410070713527"/>
  </r>
  <r>
    <n v="4271.5"/>
    <s v="F0100 - CORPORATE FUND"/>
    <s v="City Development"/>
    <x v="0"/>
    <s v="A0005 - SALARIES AND WAGES - ON PAYROLL"/>
    <x v="32"/>
    <s v="D4B90C6A712E90"/>
    <s v=" CRAWFORD, MATTHEW G"/>
    <x v="2"/>
    <s v="D54"/>
    <s v="F0100"/>
    <s v="A0005"/>
    <s v="T1441"/>
    <s v="D4B90C6A712E9020233215586276262089"/>
  </r>
  <r>
    <n v="5088"/>
    <s v="F0100 - CORPORATE FUND"/>
    <s v="City Development"/>
    <x v="0"/>
    <s v="A0005 - SALARIES AND WAGES - ON PAYROLL"/>
    <x v="40"/>
    <s v="FEC807F9B1CF02"/>
    <s v=" CUVALO, DIJANA"/>
    <x v="2"/>
    <s v="D54"/>
    <s v="F0100"/>
    <s v="A0005"/>
    <s v="T5404"/>
    <s v="FEC807F9B1CF0220233315225073621025"/>
  </r>
  <r>
    <n v="5317"/>
    <s v="F0100 - CORPORATE FUND"/>
    <s v="City Development"/>
    <x v="0"/>
    <s v="A0005 - SALARIES AND WAGES - ON PAYROLL"/>
    <x v="17"/>
    <s v="CB66CA7BBB392E"/>
    <s v=" ROUBIK, CYNTHIA J"/>
    <x v="2"/>
    <s v="D54"/>
    <s v="F0100"/>
    <s v="A0005"/>
    <s v="T9679"/>
    <s v="CB66CA7BBB392E20233505279329901138"/>
  </r>
  <r>
    <n v="4534"/>
    <s v="F0100 - CORPORATE FUND"/>
    <s v="City Development"/>
    <x v="0"/>
    <s v="A0005 - SALARIES AND WAGES - ON PAYROLL"/>
    <x v="5"/>
    <s v="0A30E99A8A025B"/>
    <s v=" ALBERT, DAMIAN K"/>
    <x v="3"/>
    <s v="D54"/>
    <s v="F0100"/>
    <s v="A0005"/>
    <s v="T0313"/>
    <s v="0A30E99A8A025B20234448894612350397"/>
  </r>
  <r>
    <n v="4536"/>
    <s v="F0100 - CORPORATE FUND"/>
    <s v="City Development"/>
    <x v="0"/>
    <s v="A0005 - SALARIES AND WAGES - ON PAYROLL"/>
    <x v="11"/>
    <s v="197E06974C23C4"/>
    <s v=" ROBACK, BRADLEY G"/>
    <x v="3"/>
    <s v="D54"/>
    <s v="F0100"/>
    <s v="A0005"/>
    <s v="T1985"/>
    <s v="197E06974C23C420234721279648880731"/>
  </r>
  <r>
    <n v="3560.5"/>
    <s v="F0100 - CORPORATE FUND"/>
    <s v="City Development"/>
    <x v="0"/>
    <s v="A0005 - SALARIES AND WAGES - ON PAYROLL"/>
    <x v="35"/>
    <s v="7505B3760D8E74"/>
    <s v=" CASSIDY, MARGARET O"/>
    <x v="3"/>
    <s v="D54"/>
    <s v="F0100"/>
    <s v="A0005"/>
    <s v="T3092"/>
    <s v="7505B3760D8E7420234505927812430913"/>
  </r>
  <r>
    <n v="8123.5"/>
    <s v="F0100 - CORPORATE FUND"/>
    <s v="City Development"/>
    <x v="0"/>
    <s v="A0005 - SALARIES AND WAGES - ON PAYROLL"/>
    <x v="42"/>
    <s v="6F8880ACA0EE59"/>
    <s v=" COX, MAURICE D"/>
    <x v="3"/>
    <s v="D54"/>
    <s v="F0100"/>
    <s v="A0005"/>
    <s v="T9954"/>
    <s v="6F8880ACA0EE5920234390985445099103"/>
  </r>
  <r>
    <n v="431.2"/>
    <s v="F0100 - CORPORATE FUND"/>
    <s v="City Development"/>
    <x v="1"/>
    <s v="A0005 - SALARIES AND WAGES - ON PAYROLL"/>
    <x v="20"/>
    <s v="120A7F5AF5A151"/>
    <s v=" PIERRE, LUDNA S"/>
    <x v="6"/>
    <s v="D21"/>
    <s v="F0100"/>
    <s v="A0005"/>
    <s v="T0404"/>
    <s v="120A7F5AF5A15120235776926185934922"/>
  </r>
  <r>
    <n v="-1574.39"/>
    <s v="F0100 - CORPORATE FUND"/>
    <s v="City Development"/>
    <x v="0"/>
    <s v="A0005 - SALARIES AND WAGES - ON PAYROLL"/>
    <x v="11"/>
    <s v="3B7443B1899BEA"/>
    <s v=" BRUTUS, OTTO P"/>
    <x v="6"/>
    <s v="D54"/>
    <s v="F0100"/>
    <s v="A0005"/>
    <s v="T1985"/>
    <s v="3B7443B1899BEA20235476688516383027"/>
  </r>
  <r>
    <n v="3902.5"/>
    <s v="F0100 - CORPORATE FUND"/>
    <s v="City Development"/>
    <x v="0"/>
    <s v="A0005 - SALARIES AND WAGES - ON PAYROLL"/>
    <x v="1"/>
    <s v="90D4F9839B1EE3"/>
    <s v=" GRAYER, SHELIA D"/>
    <x v="6"/>
    <s v="D54"/>
    <s v="F0100"/>
    <s v="A0005"/>
    <s v="T0303"/>
    <s v="90D4F9839B1EE32023553435814104066"/>
  </r>
  <r>
    <n v="4976.5"/>
    <s v="F0100 - CORPORATE FUND"/>
    <s v="City Development"/>
    <x v="0"/>
    <s v="A0005 - SALARIES AND WAGES - ON PAYROLL"/>
    <x v="36"/>
    <s v="9F6B7F152156C8"/>
    <s v=" ELIAS, LYNETTE M"/>
    <x v="6"/>
    <s v="D54"/>
    <s v="F0100"/>
    <s v="A0005"/>
    <s v="T0304"/>
    <s v="9F6B7F152156C820235568283595309357"/>
  </r>
  <r>
    <n v="2665.5"/>
    <s v="F0100 - CORPORATE FUND"/>
    <s v="City Development"/>
    <x v="0"/>
    <s v="A0005 - SALARIES AND WAGES - ON PAYROLL"/>
    <x v="34"/>
    <s v="32EEDD57B92F73"/>
    <s v=" RODRIGUEZ, VELIA C"/>
    <x v="6"/>
    <s v="D54"/>
    <s v="F0100"/>
    <s v="A0005"/>
    <s v="T0801"/>
    <s v="32EEDD57B92F7320235491789047591625"/>
  </r>
  <r>
    <n v="3166.5"/>
    <s v="F0100 - CORPORATE FUND"/>
    <s v="City Development"/>
    <x v="0"/>
    <s v="A0005 - SALARIES AND WAGES - ON PAYROLL"/>
    <x v="16"/>
    <s v="F7E2A58A9A8CE4"/>
    <s v=" MASON JOHNSON, CHRISTINA"/>
    <x v="6"/>
    <s v="D54"/>
    <s v="F0100"/>
    <s v="A0005"/>
    <s v="T1912"/>
    <s v="F7E2A58A9A8CE420235203526987755682"/>
  </r>
  <r>
    <n v="4271.5"/>
    <s v="F0100 - CORPORATE FUND"/>
    <s v="City Development"/>
    <x v="0"/>
    <s v="A0005 - SALARIES AND WAGES - ON PAYROLL"/>
    <x v="12"/>
    <s v="6AE3E9CF0CE168"/>
    <s v=" OCIEPKA, LESZEK"/>
    <x v="6"/>
    <s v="D54"/>
    <s v="F0100"/>
    <s v="A0005"/>
    <s v="T5431"/>
    <s v="6AE3E9CF0CE16820235586095910906135"/>
  </r>
  <r>
    <n v="504.35"/>
    <s v="F0100 - CORPORATE FUND"/>
    <s v="City Development"/>
    <x v="1"/>
    <s v="A0005 - SALARIES AND WAGES - ON PAYROLL"/>
    <x v="20"/>
    <s v="120A7F5AF5A151"/>
    <s v=" PIERRE, LUDNA S"/>
    <x v="7"/>
    <s v="D21"/>
    <s v="F0100"/>
    <s v="A0005"/>
    <s v="T0404"/>
    <s v="120A7F5AF5A15120236552877458047629"/>
  </r>
  <r>
    <n v="-316.88"/>
    <s v="F0100 - CORPORATE FUND"/>
    <s v="City Development"/>
    <x v="0"/>
    <s v="A0005 - SALARIES AND WAGES - ON PAYROLL"/>
    <x v="1"/>
    <s v="90D4F9839B1EE3"/>
    <s v=" GRAYER, SHELIA D"/>
    <x v="7"/>
    <s v="D54"/>
    <s v="F0100"/>
    <s v="A0005"/>
    <s v="T0303"/>
    <s v="90D4F9839B1EE320236332817724411630"/>
  </r>
  <r>
    <n v="-763.4"/>
    <s v="F0100 - CORPORATE FUND"/>
    <s v="City Development"/>
    <x v="0"/>
    <s v="A0005 - SALARIES AND WAGES - ON PAYROLL"/>
    <x v="5"/>
    <s v="8D033298A9797A"/>
    <s v=" RADZEVICH, NANCY M"/>
    <x v="7"/>
    <s v="D54"/>
    <s v="F0100"/>
    <s v="A0005"/>
    <s v="T0313"/>
    <s v="8D033298A9797A20236137443461385192"/>
  </r>
  <r>
    <n v="3902.5"/>
    <s v="F0100 - CORPORATE FUND"/>
    <s v="City Development"/>
    <x v="0"/>
    <s v="A0005 - SALARIES AND WAGES - ON PAYROLL"/>
    <x v="7"/>
    <s v="E6C53B81D58358"/>
    <s v=" DUPLAGA, ALICIA"/>
    <x v="7"/>
    <s v="D54"/>
    <s v="F0100"/>
    <s v="A0005"/>
    <s v="T1293"/>
    <s v="E6C53B81D5835820236626469454637213"/>
  </r>
  <r>
    <n v="3160.5"/>
    <s v="F0100 - CORPORATE FUND"/>
    <s v="City Development"/>
    <x v="0"/>
    <s v="A0005 - SALARIES AND WAGES - ON PAYROLL"/>
    <x v="2"/>
    <s v="0CFC9620D18B26"/>
    <s v=" SMAILBEGOVIC, OMAR"/>
    <x v="7"/>
    <s v="D54"/>
    <s v="F0100"/>
    <s v="A0005"/>
    <s v="T1405"/>
    <s v="0CFC9620D18B2620236485980750282004"/>
  </r>
  <r>
    <n v="3166.5"/>
    <s v="F0100 - CORPORATE FUND"/>
    <s v="City Development"/>
    <x v="0"/>
    <s v="A0005 - SALARIES AND WAGES - ON PAYROLL"/>
    <x v="16"/>
    <s v="F3A7E2AE494905"/>
    <s v=" MARTINEZ, SAMIE"/>
    <x v="7"/>
    <s v="D54"/>
    <s v="F0100"/>
    <s v="A0005"/>
    <s v="T1912"/>
    <s v="F3A7E2AE494905202362911734571565"/>
  </r>
  <r>
    <n v="4330"/>
    <s v="F0100 - CORPORATE FUND"/>
    <s v="City Development"/>
    <x v="0"/>
    <s v="A0005 - SALARIES AND WAGES - ON PAYROLL"/>
    <x v="16"/>
    <s v="B070D8D0C55BEE"/>
    <s v=" ORTEGA, VICTORIA L"/>
    <x v="7"/>
    <s v="D54"/>
    <s v="F0100"/>
    <s v="A0005"/>
    <s v="T1912"/>
    <s v="B070D8D0C55BEE2023643558474055264"/>
  </r>
  <r>
    <n v="3467"/>
    <s v="F0100 - CORPORATE FUND"/>
    <s v="City Development"/>
    <x v="1"/>
    <s v="A0005 - SALARIES AND WAGES - ON PAYROLL"/>
    <x v="24"/>
    <s v="67EAB9287E4C41"/>
    <s v=" LOERA JR, ELISEO"/>
    <x v="8"/>
    <s v="D21"/>
    <s v="F0100"/>
    <s v="A0005"/>
    <s v="T0310"/>
    <s v="67EAB9287E4C4120237541760641604698"/>
  </r>
  <r>
    <n v="6502.5"/>
    <s v="F0100 - CORPORATE FUND"/>
    <s v="City Development"/>
    <x v="1"/>
    <s v="A0005 - SALARIES AND WAGES - ON PAYROLL"/>
    <x v="19"/>
    <s v="B7A5D651A3EE74"/>
    <s v=" ESENBERG, BRYAN"/>
    <x v="8"/>
    <s v="D21"/>
    <s v="F0100"/>
    <s v="A0005"/>
    <s v="T9813"/>
    <s v="B7A5D651A3EE7420237881039827507836"/>
  </r>
  <r>
    <n v="419.65"/>
    <s v="F0100 - CORPORATE FUND"/>
    <s v="City Development"/>
    <x v="1"/>
    <s v="A0005 - SALARIES AND WAGES - ON PAYROLL"/>
    <x v="20"/>
    <s v="1F544A13C7D52A"/>
    <s v=" LUCIO, CRISTINA"/>
    <x v="8"/>
    <s v="D21"/>
    <s v="F0100"/>
    <s v="A0005"/>
    <s v="T0404"/>
    <s v="1F544A13C7D52A20237661067611253306"/>
  </r>
  <r>
    <n v="4134.5"/>
    <s v="F0100 - CORPORATE FUND"/>
    <s v="City Development"/>
    <x v="0"/>
    <s v="A0005 - SALARIES AND WAGES - ON PAYROLL"/>
    <x v="15"/>
    <s v="4450854AC2FA16"/>
    <s v=" CANNON, ANGELA"/>
    <x v="8"/>
    <s v="D54"/>
    <s v="F0100"/>
    <s v="A0005"/>
    <s v="T0381"/>
    <s v="4450854AC2FA1620237789629864329008"/>
  </r>
  <r>
    <n v="3250"/>
    <s v="F0100 - CORPORATE FUND"/>
    <s v="City Development"/>
    <x v="0"/>
    <s v="A0005 - SALARIES AND WAGES - ON PAYROLL"/>
    <x v="2"/>
    <s v="C0C22C2EB8E347"/>
    <s v=" LYON, MAXIMILIAN D"/>
    <x v="8"/>
    <s v="D54"/>
    <s v="F0100"/>
    <s v="A0005"/>
    <s v="T1405"/>
    <s v="C0C22C2EB8E3472023730277901966944"/>
  </r>
  <r>
    <n v="4487.5"/>
    <s v="F0100 - CORPORATE FUND"/>
    <s v="City Development"/>
    <x v="0"/>
    <s v="A0005 - SALARIES AND WAGES - ON PAYROLL"/>
    <x v="10"/>
    <s v="FB1ED4EDF19B41"/>
    <s v=" GARZA, CYNTHIA A"/>
    <x v="8"/>
    <s v="D54"/>
    <s v="F0100"/>
    <s v="A0005"/>
    <s v="T1602"/>
    <s v="FB1ED4EDF19B4120237293352654323050"/>
  </r>
  <r>
    <n v="3366.7"/>
    <s v="F0100 - CORPORATE FUND"/>
    <s v="City Development"/>
    <x v="0"/>
    <s v="A0005 - SALARIES AND WAGES - ON PAYROLL"/>
    <x v="2"/>
    <s v="722EBEFA1CD126"/>
    <s v=" FORTE, KAREN J"/>
    <x v="8"/>
    <s v="D54"/>
    <s v="F0100"/>
    <s v="A0005"/>
    <s v="T1405"/>
    <s v="722EBEFA1CD12620237324395491988401"/>
  </r>
  <r>
    <n v="4766"/>
    <s v="F0100 - CORPORATE FUND"/>
    <s v="City Development"/>
    <x v="1"/>
    <s v="A0005 - SALARIES AND WAGES - ON PAYROLL"/>
    <x v="9"/>
    <s v="C28E727C8EB8AF"/>
    <s v=" HERTZ, DANIEL K"/>
    <x v="10"/>
    <s v="D21"/>
    <s v="F0100"/>
    <s v="A0005"/>
    <s v="T2901"/>
    <s v="C28E727C8EB8AF20238374571676287510"/>
  </r>
  <r>
    <n v="-753.7"/>
    <s v="F0100 - CORPORATE FUND"/>
    <s v="City Development"/>
    <x v="0"/>
    <s v="A0005 - SALARIES AND WAGES - ON PAYROLL"/>
    <x v="16"/>
    <s v="4850B0ADA500EA"/>
    <s v=" SCHNEIDER, JOHN A"/>
    <x v="10"/>
    <s v="D54"/>
    <s v="F0100"/>
    <s v="A0005"/>
    <s v="T1912"/>
    <s v="4850B0ADA500EA20238126579338423823"/>
  </r>
  <r>
    <n v="4274"/>
    <s v="F0100 - CORPORATE FUND"/>
    <s v="City Development"/>
    <x v="0"/>
    <s v="A0005 - SALARIES AND WAGES - ON PAYROLL"/>
    <x v="2"/>
    <s v="17BE1C79346928"/>
    <s v=" PATE, ONEIDA R"/>
    <x v="10"/>
    <s v="D54"/>
    <s v="F0100"/>
    <s v="A0005"/>
    <s v="T1405"/>
    <s v="17BE1C7934692820238747448802256383"/>
  </r>
  <r>
    <n v="4274"/>
    <s v="F0100 - CORPORATE FUND"/>
    <s v="City Development"/>
    <x v="0"/>
    <s v="A0005 - SALARIES AND WAGES - ON PAYROLL"/>
    <x v="2"/>
    <s v="B656AB20A22A77"/>
    <s v=" RHYMES, MICHELE A"/>
    <x v="10"/>
    <s v="D54"/>
    <s v="F0100"/>
    <s v="A0005"/>
    <s v="T1405"/>
    <s v="B656AB20A22A7720238745786931720120"/>
  </r>
  <r>
    <n v="3768.5"/>
    <s v="F0100 - CORPORATE FUND"/>
    <s v="City Development"/>
    <x v="0"/>
    <s v="A0005 - SALARIES AND WAGES - ON PAYROLL"/>
    <x v="16"/>
    <s v="04115775EBE70E"/>
    <s v=" CHASE, JESSIE L"/>
    <x v="10"/>
    <s v="D54"/>
    <s v="F0100"/>
    <s v="A0005"/>
    <s v="T1912"/>
    <s v="04115775EBE70E20238970050126545023"/>
  </r>
  <r>
    <n v="3768.5"/>
    <s v="F0100 - CORPORATE FUND"/>
    <s v="City Development"/>
    <x v="0"/>
    <s v="A0005 - SALARIES AND WAGES - ON PAYROLL"/>
    <x v="16"/>
    <s v="0CEECAF6BD16BA"/>
    <s v=" HAHN, KANDALYN"/>
    <x v="10"/>
    <s v="D54"/>
    <s v="F0100"/>
    <s v="A0005"/>
    <s v="T1912"/>
    <s v="0CEECAF6BD16BA20238660747141470165"/>
  </r>
  <r>
    <n v="4330"/>
    <s v="F0100 - CORPORATE FUND"/>
    <s v="City Development"/>
    <x v="0"/>
    <s v="A0005 - SALARIES AND WAGES - ON PAYROLL"/>
    <x v="16"/>
    <s v="B070D8D0C55BEE"/>
    <s v=" ORTEGA, VICTORIA L"/>
    <x v="10"/>
    <s v="D54"/>
    <s v="F0100"/>
    <s v="A0005"/>
    <s v="T1912"/>
    <s v="B070D8D0C55BEE20238443896307447714"/>
  </r>
  <r>
    <n v="4064.5"/>
    <s v="F0100 - CORPORATE FUND"/>
    <s v="City Development"/>
    <x v="1"/>
    <s v="A0005 - SALARIES AND WAGES - ON PAYROLL"/>
    <x v="24"/>
    <s v="C0941D522C8AA2"/>
    <s v=" JOHNSON, AARON M"/>
    <x v="4"/>
    <s v="D21"/>
    <s v="F0100"/>
    <s v="A0005"/>
    <s v="T0310"/>
    <s v="C0941D522C8AA220239315588773879529"/>
  </r>
  <r>
    <n v="4232.5"/>
    <s v="F0100 - CORPORATE FUND"/>
    <s v="City Development"/>
    <x v="1"/>
    <s v="A0005 - SALARIES AND WAGES - ON PAYROLL"/>
    <x v="30"/>
    <s v="DCCA7ADE67CA55"/>
    <s v=" O'DONNELL, BRIAN"/>
    <x v="4"/>
    <s v="D21"/>
    <s v="F0100"/>
    <s v="A0005"/>
    <s v="T1437"/>
    <s v="DCCA7ADE67CA5520239700054660453345"/>
  </r>
  <r>
    <n v="4534"/>
    <s v="F0100 - CORPORATE FUND"/>
    <s v="City Development"/>
    <x v="0"/>
    <s v="A0005 - SALARIES AND WAGES - ON PAYROLL"/>
    <x v="5"/>
    <s v="816FFCA85FAFED"/>
    <s v=" ROSCHEN, MARK E"/>
    <x v="4"/>
    <s v="D54"/>
    <s v="F0100"/>
    <s v="A0005"/>
    <s v="T0313"/>
    <s v="816FFCA85FAFED20239982562915607633"/>
  </r>
  <r>
    <n v="4750.5"/>
    <s v="F0100 - CORPORATE FUND"/>
    <s v="City Development"/>
    <x v="0"/>
    <s v="A0005 - SALARIES AND WAGES - ON PAYROLL"/>
    <x v="31"/>
    <s v="FD79F1E16BD724"/>
    <s v=" RESA, VICTOR T"/>
    <x v="4"/>
    <s v="D54"/>
    <s v="F0100"/>
    <s v="A0005"/>
    <s v="T1290"/>
    <s v="FD79F1E16BD72420239581110396658923"/>
  </r>
  <r>
    <n v="3754.5"/>
    <s v="F0100 - CORPORATE FUND"/>
    <s v="City Development"/>
    <x v="0"/>
    <s v="A0005 - SALARIES AND WAGES - ON PAYROLL"/>
    <x v="79"/>
    <s v="C9C67FDAE15B63"/>
    <s v=" PERRY, SUSAN E"/>
    <x v="4"/>
    <s v="D54"/>
    <s v="F0100"/>
    <s v="A0005"/>
    <s v="T1402"/>
    <s v="C9C67FDAE15B632023973037746737322"/>
  </r>
  <r>
    <n v="3250"/>
    <s v="F0100 - CORPORATE FUND"/>
    <s v="City Development"/>
    <x v="0"/>
    <s v="A0005 - SALARIES AND WAGES - ON PAYROLL"/>
    <x v="2"/>
    <s v="C14B6B30C583A3"/>
    <s v=" HOLLAND, WILLIAM R"/>
    <x v="4"/>
    <s v="D54"/>
    <s v="F0100"/>
    <s v="A0005"/>
    <s v="T1405"/>
    <s v="C14B6B30C583A320239825110021759102"/>
  </r>
  <r>
    <n v="3467"/>
    <s v="F0100 - CORPORATE FUND"/>
    <s v="City Development"/>
    <x v="1"/>
    <s v="A0005 - SALARIES AND WAGES - ON PAYROLL"/>
    <x v="24"/>
    <s v="67EAB9287E4C41"/>
    <s v=" LOERA JR, ELISEO"/>
    <x v="11"/>
    <s v="D21"/>
    <s v="F0100"/>
    <s v="A0005"/>
    <s v="T0310"/>
    <s v="67EAB9287E4C41202310260497130471451"/>
  </r>
  <r>
    <n v="3772.5"/>
    <s v="F0100 - CORPORATE FUND"/>
    <s v="City Development"/>
    <x v="0"/>
    <s v="A0005 - SALARIES AND WAGES - ON PAYROLL"/>
    <x v="0"/>
    <s v="C1081EDB5EEAE1"/>
    <s v=" TACCAD, CLARIBEL"/>
    <x v="11"/>
    <s v="D54"/>
    <s v="F0100"/>
    <s v="A0005"/>
    <s v="T0109"/>
    <s v="C1081EDB5EEAE1202310942639466050385"/>
  </r>
  <r>
    <n v="4672"/>
    <s v="F0100 - CORPORATE FUND"/>
    <s v="City Development"/>
    <x v="0"/>
    <s v="A0005 - SALARIES AND WAGES - ON PAYROLL"/>
    <x v="80"/>
    <s v="3C0DC90E31D4AA"/>
    <s v=" KIRBY, JOANN B"/>
    <x v="11"/>
    <s v="D54"/>
    <s v="F0100"/>
    <s v="A0005"/>
    <s v="T1191"/>
    <s v="3C0DC90E31D4AA202310744063544146607"/>
  </r>
  <r>
    <n v="2697.5"/>
    <s v="F0100 - CORPORATE FUND"/>
    <s v="City Development"/>
    <x v="0"/>
    <s v="A0005 - SALARIES AND WAGES - ON PAYROLL"/>
    <x v="7"/>
    <s v="D6F0FB9FC44E17"/>
    <s v=" NOLTER, ROBERT J"/>
    <x v="11"/>
    <s v="D54"/>
    <s v="F0100"/>
    <s v="A0005"/>
    <s v="T1293"/>
    <s v="D6F0FB9FC44E17202310959062930849522"/>
  </r>
  <r>
    <n v="2960.5"/>
    <s v="F0100 - CORPORATE FUND"/>
    <s v="City Development"/>
    <x v="0"/>
    <s v="A0005 - SALARIES AND WAGES - ON PAYROLL"/>
    <x v="7"/>
    <s v="BB2CA722F12B5C"/>
    <s v=" RICE, CARL M"/>
    <x v="11"/>
    <s v="D54"/>
    <s v="F0100"/>
    <s v="A0005"/>
    <s v="T1293"/>
    <s v="BB2CA722F12B5C20231078742551647871"/>
  </r>
  <r>
    <n v="2783.5"/>
    <s v="F0100 - CORPORATE FUND"/>
    <s v="City Development"/>
    <x v="0"/>
    <s v="A0005 - SALARIES AND WAGES - ON PAYROLL"/>
    <x v="16"/>
    <s v="D0F81716CD2DC3"/>
    <s v=" NAPOLES, LISA G"/>
    <x v="11"/>
    <s v="D54"/>
    <s v="F0100"/>
    <s v="A0005"/>
    <s v="T1912"/>
    <s v="D0F81716CD2DC3202310617338350600676"/>
  </r>
  <r>
    <n v="5816.5"/>
    <s v="F0100 - CORPORATE FUND"/>
    <s v="City Development"/>
    <x v="0"/>
    <s v="A0005 - SALARIES AND WAGES - ON PAYROLL"/>
    <x v="26"/>
    <s v="8DF8DD37E2FDC3"/>
    <s v=" MURPHEY, THOMAS P"/>
    <x v="11"/>
    <s v="D54"/>
    <s v="F0100"/>
    <s v="A0005"/>
    <s v="T9654"/>
    <s v="8DF8DD37E2FDC3202310862791445583963"/>
  </r>
  <r>
    <n v="-602.79999999999995"/>
    <s v="F0100 - CORPORATE FUND"/>
    <s v="City Development"/>
    <x v="0"/>
    <s v="A0005 - SALARIES AND WAGES - ON PAYROLL"/>
    <x v="81"/>
    <s v="4A2260AE5B2EDF"/>
    <s v=" WESLEY, MELVIN D"/>
    <x v="11"/>
    <s v="D54"/>
    <s v="F0100"/>
    <s v="A0005"/>
    <s v="T9660"/>
    <s v="4A2260AE5B2EDF202310595228679289919"/>
  </r>
  <r>
    <n v="6634.5"/>
    <s v="F0100 - CORPORATE FUND"/>
    <s v="City Development"/>
    <x v="1"/>
    <s v="A0005 - SALARIES AND WAGES - ON PAYROLL"/>
    <x v="19"/>
    <s v="B7A5D651A3EE74"/>
    <s v=" ESENBERG, BRYAN"/>
    <x v="5"/>
    <s v="D21"/>
    <s v="F0100"/>
    <s v="A0005"/>
    <s v="T9813"/>
    <s v="B7A5D651A3EE7420231173709095470527"/>
  </r>
  <r>
    <n v="3772.5"/>
    <s v="F0100 - CORPORATE FUND"/>
    <s v="City Development"/>
    <x v="0"/>
    <s v="A0005 - SALARIES AND WAGES - ON PAYROLL"/>
    <x v="0"/>
    <s v="C1081EDB5EEAE1"/>
    <s v=" TACCAD, CLARIBEL"/>
    <x v="5"/>
    <s v="D54"/>
    <s v="F0100"/>
    <s v="A0005"/>
    <s v="T0109"/>
    <s v="C1081EDB5EEAE1202311833155293897223"/>
  </r>
  <r>
    <n v="4976.5"/>
    <s v="F0100 - CORPORATE FUND"/>
    <s v="City Development"/>
    <x v="0"/>
    <s v="A0005 - SALARIES AND WAGES - ON PAYROLL"/>
    <x v="36"/>
    <s v="9F6B7F152156C8"/>
    <s v=" ELIAS, LYNETTE M"/>
    <x v="5"/>
    <s v="D54"/>
    <s v="F0100"/>
    <s v="A0005"/>
    <s v="T0304"/>
    <s v="9F6B7F152156C8202311816269524719075"/>
  </r>
  <r>
    <n v="3867.5"/>
    <s v="F0100 - CORPORATE FUND"/>
    <s v="City Development"/>
    <x v="0"/>
    <s v="A0005 - SALARIES AND WAGES - ON PAYROLL"/>
    <x v="24"/>
    <s v="875D1F5749F310"/>
    <s v=" MALAKPOUR, SOUSAN"/>
    <x v="5"/>
    <s v="D54"/>
    <s v="F0100"/>
    <s v="A0005"/>
    <s v="T0310"/>
    <s v="875D1F5749F310202311946896671630961"/>
  </r>
  <r>
    <n v="4541.5"/>
    <s v="F0100 - CORPORATE FUND"/>
    <s v="City Development"/>
    <x v="0"/>
    <s v="A0005 - SALARIES AND WAGES - ON PAYROLL"/>
    <x v="7"/>
    <s v="9A02E547CCA939"/>
    <s v=" HILL, JANICE D"/>
    <x v="5"/>
    <s v="D54"/>
    <s v="F0100"/>
    <s v="A0005"/>
    <s v="T1293"/>
    <s v="9A02E547CCA939202311937594521774710"/>
  </r>
  <r>
    <n v="3711.5"/>
    <s v="F0100 - CORPORATE FUND"/>
    <s v="City Development"/>
    <x v="0"/>
    <s v="A0005 - SALARIES AND WAGES - ON PAYROLL"/>
    <x v="2"/>
    <s v="73BA524443E82D"/>
    <s v=" THRUN, EMILY"/>
    <x v="5"/>
    <s v="D54"/>
    <s v="F0100"/>
    <s v="A0005"/>
    <s v="T1405"/>
    <s v="73BA524443E82D202311301155632811341"/>
  </r>
  <r>
    <n v="4444.5"/>
    <s v="F0100 - CORPORATE FUND"/>
    <s v="City Development"/>
    <x v="0"/>
    <s v="A0005 - SALARIES AND WAGES - ON PAYROLL"/>
    <x v="32"/>
    <s v="E8E9DEF8EB7E0B"/>
    <s v=" MARMO, MICHAEL A"/>
    <x v="5"/>
    <s v="D54"/>
    <s v="F0100"/>
    <s v="A0005"/>
    <s v="T1441"/>
    <s v="E8E9DEF8EB7E0B202311495731531235176"/>
  </r>
  <r>
    <n v="4760.5"/>
    <s v="F0100 - CORPORATE FUND"/>
    <s v="City Development"/>
    <x v="0"/>
    <s v="A0005 - SALARIES AND WAGES - ON PAYROLL"/>
    <x v="10"/>
    <s v="FB1ED4EDF19B41"/>
    <s v=" GARZA, CYNTHIA A"/>
    <x v="5"/>
    <s v="D54"/>
    <s v="F0100"/>
    <s v="A0005"/>
    <s v="T1602"/>
    <s v="FB1ED4EDF19B41202311241067416859741"/>
  </r>
  <r>
    <n v="1834.14"/>
    <s v="F0100 - CORPORATE FUND"/>
    <s v="Public Safety"/>
    <x v="2"/>
    <s v="A0020 - OVERTIME"/>
    <x v="55"/>
    <s v="3989778ED17204"/>
    <s v=" WILLIAMS, VIVIAN"/>
    <x v="8"/>
    <s v="D57"/>
    <s v="F0100"/>
    <s v="A0020"/>
    <s v="T9171"/>
    <s v="3989778ED1720420237591567849686522"/>
  </r>
  <r>
    <n v="7082"/>
    <s v="F0100 - CORPORATE FUND"/>
    <s v="City Development"/>
    <x v="0"/>
    <s v="A0005 - SALARIES AND WAGES - ON PAYROLL"/>
    <x v="81"/>
    <s v="4A2260AE5B2EDF"/>
    <s v=" WESLEY, MELVIN D"/>
    <x v="5"/>
    <s v="D54"/>
    <s v="F0100"/>
    <s v="A0005"/>
    <s v="T9660"/>
    <s v="4A2260AE5B2EDF202311959035479177459"/>
  </r>
  <r>
    <n v="13669.62"/>
    <s v="F0100 - CORPORATE FUND"/>
    <s v="City Development"/>
    <x v="0"/>
    <s v="A0005 - SALARIES AND WAGES - ON PAYROLL"/>
    <x v="82"/>
    <s v="32F3F7BE15FDB0"/>
    <s v=" IMPARL, PAUL A"/>
    <x v="5"/>
    <s v="D54"/>
    <s v="F0100"/>
    <s v="A0005"/>
    <s v="T0634"/>
    <s v="32F3F7BE15FDB0202311665152334717914"/>
  </r>
  <r>
    <n v="3467"/>
    <s v="F0100 - CORPORATE FUND"/>
    <s v="City Development"/>
    <x v="1"/>
    <s v="A0005 - SALARIES AND WAGES - ON PAYROLL"/>
    <x v="24"/>
    <s v="10A1E0D57AA009"/>
    <s v=" WHEATEN, KEISHA J"/>
    <x v="17"/>
    <s v="D21"/>
    <s v="F0100"/>
    <s v="A0005"/>
    <s v="T0310"/>
    <s v="10A1E0D57AA009202312171980699415727"/>
  </r>
  <r>
    <n v="-434.37"/>
    <s v="F0100 - CORPORATE FUND"/>
    <s v="City Development"/>
    <x v="0"/>
    <s v="A0005 - SALARIES AND WAGES - ON PAYROLL"/>
    <x v="5"/>
    <s v="8D033298A9797A"/>
    <s v=" RADZEVICH, NANCY M"/>
    <x v="17"/>
    <s v="D54"/>
    <s v="F0100"/>
    <s v="A0005"/>
    <s v="T0313"/>
    <s v="8D033298A9797A202312653634436434452"/>
  </r>
  <r>
    <n v="4976.5"/>
    <s v="F0100 - CORPORATE FUND"/>
    <s v="City Development"/>
    <x v="0"/>
    <s v="A0005 - SALARIES AND WAGES - ON PAYROLL"/>
    <x v="36"/>
    <s v="9F6B7F152156C8"/>
    <s v=" ELIAS, LYNETTE M"/>
    <x v="17"/>
    <s v="D54"/>
    <s v="F0100"/>
    <s v="A0005"/>
    <s v="T0304"/>
    <s v="9F6B7F152156C8202312994458456719915"/>
  </r>
  <r>
    <n v="4541.5"/>
    <s v="F0100 - CORPORATE FUND"/>
    <s v="City Development"/>
    <x v="0"/>
    <s v="A0005 - SALARIES AND WAGES - ON PAYROLL"/>
    <x v="7"/>
    <s v="AF76F191B02EDD"/>
    <s v=" GAETA, JOSE O"/>
    <x v="17"/>
    <s v="D54"/>
    <s v="F0100"/>
    <s v="A0005"/>
    <s v="T1293"/>
    <s v="AF76F191B02EDD202312127612211811765"/>
  </r>
  <r>
    <n v="-171.89"/>
    <s v="F0100 - CORPORATE FUND"/>
    <s v="City Development"/>
    <x v="1"/>
    <s v="A0005 - SALARIES AND WAGES - ON PAYROLL"/>
    <x v="33"/>
    <s v="B997D21DD188D1"/>
    <s v=" WINDMON, HEATHER E"/>
    <x v="0"/>
    <s v="D21"/>
    <s v="F0100"/>
    <s v="A0005"/>
    <s v="T0366"/>
    <s v="B997D21DD188D120231524312223266813"/>
  </r>
  <r>
    <n v="4766"/>
    <s v="F0100 - CORPORATE FUND"/>
    <s v="City Development"/>
    <x v="1"/>
    <s v="A0005 - SALARIES AND WAGES - ON PAYROLL"/>
    <x v="9"/>
    <s v="C28E727C8EB8AF"/>
    <s v=" HERTZ, DANIEL K"/>
    <x v="0"/>
    <s v="D21"/>
    <s v="F0100"/>
    <s v="A0005"/>
    <s v="T2901"/>
    <s v="C28E727C8EB8AF20231926562952372007"/>
  </r>
  <r>
    <n v="-205.84"/>
    <s v="F0100 - CORPORATE FUND"/>
    <s v="City Development"/>
    <x v="0"/>
    <s v="A0005 - SALARIES AND WAGES - ON PAYROLL"/>
    <x v="5"/>
    <s v="0A30E99A8A025B"/>
    <s v=" ALBERT, DAMIAN K"/>
    <x v="0"/>
    <s v="D54"/>
    <s v="F0100"/>
    <s v="A0005"/>
    <s v="T0313"/>
    <s v="0A30E99A8A025B20231790165011410812"/>
  </r>
  <r>
    <n v="3394.5"/>
    <s v="F0100 - CORPORATE FUND"/>
    <s v="City Development"/>
    <x v="0"/>
    <s v="A0005 - SALARIES AND WAGES - ON PAYROLL"/>
    <x v="21"/>
    <s v="65FD61E57B6B1E"/>
    <s v=" MORGAN, LASHONDA L"/>
    <x v="0"/>
    <s v="D54"/>
    <s v="F0100"/>
    <s v="A0005"/>
    <s v="T0308"/>
    <s v="65FD61E57B6B1E20231289645035516891"/>
  </r>
  <r>
    <n v="4134.5"/>
    <s v="F0100 - CORPORATE FUND"/>
    <s v="City Development"/>
    <x v="0"/>
    <s v="A0005 - SALARIES AND WAGES - ON PAYROLL"/>
    <x v="15"/>
    <s v="4450854AC2FA16"/>
    <s v=" CANNON, ANGELA"/>
    <x v="0"/>
    <s v="D54"/>
    <s v="F0100"/>
    <s v="A0005"/>
    <s v="T0381"/>
    <s v="4450854AC2FA1620231992826729453510"/>
  </r>
  <r>
    <n v="5212"/>
    <s v="F0100 - CORPORATE FUND"/>
    <s v="City Development"/>
    <x v="0"/>
    <s v="A0005 - SALARIES AND WAGES - ON PAYROLL"/>
    <x v="25"/>
    <s v="B15F2BF1B8191D"/>
    <s v=" ROBLES, ANNA M"/>
    <x v="0"/>
    <s v="D54"/>
    <s v="F0100"/>
    <s v="A0005"/>
    <s v="T1299"/>
    <s v="B15F2BF1B8191D20231774505150100464"/>
  </r>
  <r>
    <n v="3160.5"/>
    <s v="F0100 - CORPORATE FUND"/>
    <s v="City Development"/>
    <x v="0"/>
    <s v="A0005 - SALARIES AND WAGES - ON PAYROLL"/>
    <x v="2"/>
    <s v="0CFC9620D18B26"/>
    <s v=" SMAILBEGOVIC, OMAR"/>
    <x v="0"/>
    <s v="D54"/>
    <s v="F0100"/>
    <s v="A0005"/>
    <s v="T1405"/>
    <s v="0CFC9620D18B2620231632825862015112"/>
  </r>
  <r>
    <n v="4274"/>
    <s v="F0100 - CORPORATE FUND"/>
    <s v="City Development"/>
    <x v="0"/>
    <s v="A0005 - SALARIES AND WAGES - ON PAYROLL"/>
    <x v="2"/>
    <s v="0B53A61E880DE9"/>
    <s v=" ESPINOZA, FERNANDO"/>
    <x v="0"/>
    <s v="D54"/>
    <s v="F0100"/>
    <s v="A0005"/>
    <s v="T1405"/>
    <s v="0B53A61E880DE920231489495994554664"/>
  </r>
  <r>
    <n v="3160.5"/>
    <s v="F0100 - CORPORATE FUND"/>
    <s v="City Development"/>
    <x v="0"/>
    <s v="A0005 - SALARIES AND WAGES - ON PAYROLL"/>
    <x v="38"/>
    <s v="97CD6D4F3F26BF"/>
    <s v=" ASTUDILLO, ROBERTO"/>
    <x v="0"/>
    <s v="D54"/>
    <s v="F0100"/>
    <s v="A0005"/>
    <s v="T1407"/>
    <s v="97CD6D4F3F26BF20231207398891164385"/>
  </r>
  <r>
    <n v="5478"/>
    <s v="F0100 - CORPORATE FUND"/>
    <s v="City Development"/>
    <x v="0"/>
    <s v="A0005 - SALARIES AND WAGES - ON PAYROLL"/>
    <x v="17"/>
    <s v="A38F3ED12B746E"/>
    <s v=" DICKHUT, KATHLEEN E"/>
    <x v="0"/>
    <s v="D54"/>
    <s v="F0100"/>
    <s v="A0005"/>
    <s v="T9679"/>
    <s v="A38F3ED12B746E20231739107623833001"/>
  </r>
  <r>
    <n v="5478"/>
    <s v="F0100 - CORPORATE FUND"/>
    <s v="City Development"/>
    <x v="0"/>
    <s v="A0005 - SALARIES AND WAGES - ON PAYROLL"/>
    <x v="17"/>
    <s v="3EF80AD5153430"/>
    <s v=" SCHMITZ, MATTHEW M"/>
    <x v="0"/>
    <s v="D54"/>
    <s v="F0100"/>
    <s v="A0005"/>
    <s v="T9679"/>
    <s v="3EF80AD515343020231458337973492929"/>
  </r>
  <r>
    <n v="4134.5"/>
    <s v="F0100 - CORPORATE FUND"/>
    <s v="City Development"/>
    <x v="0"/>
    <s v="A0005 - SALARIES AND WAGES - ON PAYROLL"/>
    <x v="15"/>
    <s v="4450854AC2FA16"/>
    <s v=" CANNON, ANGELA"/>
    <x v="1"/>
    <s v="D54"/>
    <s v="F0100"/>
    <s v="A0005"/>
    <s v="T0381"/>
    <s v="4450854AC2FA1620232866108452563909"/>
  </r>
  <r>
    <n v="4672"/>
    <s v="F0100 - CORPORATE FUND"/>
    <s v="City Development"/>
    <x v="0"/>
    <s v="A0005 - SALARIES AND WAGES - ON PAYROLL"/>
    <x v="80"/>
    <s v="3C0DC90E31D4AA"/>
    <s v=" KIRBY, JOANN B"/>
    <x v="1"/>
    <s v="D54"/>
    <s v="F0100"/>
    <s v="A0005"/>
    <s v="T1191"/>
    <s v="3C0DC90E31D4AA20232131006347705431"/>
  </r>
  <r>
    <n v="400.35"/>
    <s v="F0100 - CORPORATE FUND"/>
    <s v="Finance and Administration"/>
    <x v="4"/>
    <s v="A0020 - OVERTIME"/>
    <x v="83"/>
    <s v="774A0FFEA0023C"/>
    <s v=" WOODS, DYLAN W"/>
    <x v="11"/>
    <s v="D38"/>
    <s v="F0100"/>
    <s v="A0020"/>
    <s v="T7160"/>
    <s v="774A0FFEA0023C202310349231641478324"/>
  </r>
  <r>
    <n v="5152.5"/>
    <s v="F0100 - CORPORATE FUND"/>
    <s v="City Development"/>
    <x v="0"/>
    <s v="A0005 - SALARIES AND WAGES - ON PAYROLL"/>
    <x v="27"/>
    <s v="DDCDFA43F562C4"/>
    <s v=" RAMIREZ, CARLOS H"/>
    <x v="1"/>
    <s v="D54"/>
    <s v="F0100"/>
    <s v="A0005"/>
    <s v="T1291"/>
    <s v="DDCDFA43F562C420232643920356736095"/>
  </r>
  <r>
    <n v="3875"/>
    <s v="F0100 - CORPORATE FUND"/>
    <s v="City Development"/>
    <x v="0"/>
    <s v="A0005 - SALARIES AND WAGES - ON PAYROLL"/>
    <x v="44"/>
    <s v="B79B24BB0FAF35"/>
    <s v=" MARTINEZ, CARMEN M"/>
    <x v="1"/>
    <s v="D54"/>
    <s v="F0100"/>
    <s v="A0005"/>
    <s v="T1408"/>
    <s v="B79B24BB0FAF3520232168001043083856"/>
  </r>
  <r>
    <n v="3467"/>
    <s v="F0100 - CORPORATE FUND"/>
    <s v="City Development"/>
    <x v="1"/>
    <s v="A0005 - SALARIES AND WAGES - ON PAYROLL"/>
    <x v="24"/>
    <s v="F76D859E13FC1F"/>
    <s v=" O'CONNOR, STEPHANIE K"/>
    <x v="2"/>
    <s v="D21"/>
    <s v="F0100"/>
    <s v="A0005"/>
    <s v="T0310"/>
    <s v="F76D859E13FC1F20233927501129304029"/>
  </r>
  <r>
    <n v="4229.5"/>
    <s v="F0100 - CORPORATE FUND"/>
    <s v="City Development"/>
    <x v="1"/>
    <s v="A0005 - SALARIES AND WAGES - ON PAYROLL"/>
    <x v="24"/>
    <s v="0CE7E5BE6A6E31"/>
    <s v=" MUNGIN, WHITNI E"/>
    <x v="2"/>
    <s v="D21"/>
    <s v="F0100"/>
    <s v="A0005"/>
    <s v="T0310"/>
    <s v="0CE7E5BE6A6E3120233558303232172789"/>
  </r>
  <r>
    <n v="6111.5"/>
    <s v="F0100 - CORPORATE FUND"/>
    <s v="City Development"/>
    <x v="1"/>
    <s v="A0005 - SALARIES AND WAGES - ON PAYROLL"/>
    <x v="19"/>
    <s v="F9DD478927ED38"/>
    <s v=" HAMILTON, NATASHA A"/>
    <x v="2"/>
    <s v="D21"/>
    <s v="F0100"/>
    <s v="A0005"/>
    <s v="T9813"/>
    <s v="F9DD478927ED3820233214872041266"/>
  </r>
  <r>
    <n v="4659"/>
    <s v="F0100 - CORPORATE FUND"/>
    <s v="City Development"/>
    <x v="0"/>
    <s v="A0005 - SALARIES AND WAGES - ON PAYROLL"/>
    <x v="78"/>
    <s v="E9F7473D7C0761"/>
    <s v=" MOTA, ROSENDO"/>
    <x v="2"/>
    <s v="D54"/>
    <s v="F0100"/>
    <s v="A0005"/>
    <s v="T0111"/>
    <s v="E9F7473D7C07612023365588452121281"/>
  </r>
  <r>
    <n v="3394.5"/>
    <s v="F0100 - CORPORATE FUND"/>
    <s v="City Development"/>
    <x v="0"/>
    <s v="A0005 - SALARIES AND WAGES - ON PAYROLL"/>
    <x v="21"/>
    <s v="65FD61E57B6B1E"/>
    <s v=" MORGAN, LASHONDA L"/>
    <x v="2"/>
    <s v="D54"/>
    <s v="F0100"/>
    <s v="A0005"/>
    <s v="T0308"/>
    <s v="65FD61E57B6B1E20233223563479435508"/>
  </r>
  <r>
    <n v="4280.5"/>
    <s v="F0100 - CORPORATE FUND"/>
    <s v="City Development"/>
    <x v="0"/>
    <s v="A0005 - SALARIES AND WAGES - ON PAYROLL"/>
    <x v="21"/>
    <s v="64B7C34724F7F0"/>
    <s v=" HARRISON, KIMBERLEY A"/>
    <x v="2"/>
    <s v="D54"/>
    <s v="F0100"/>
    <s v="A0005"/>
    <s v="T0308"/>
    <s v="64B7C34724F7F020233912837416723597"/>
  </r>
  <r>
    <n v="2791"/>
    <s v="F0100 - CORPORATE FUND"/>
    <s v="City Development"/>
    <x v="0"/>
    <s v="A0005 - SALARIES AND WAGES - ON PAYROLL"/>
    <x v="7"/>
    <s v="BB2CA722F12B5C"/>
    <s v=" RICE, CARL M"/>
    <x v="2"/>
    <s v="D54"/>
    <s v="F0100"/>
    <s v="A0005"/>
    <s v="T1293"/>
    <s v="BB2CA722F12B5C20233561746541464090"/>
  </r>
  <r>
    <n v="3250"/>
    <s v="F0100 - CORPORATE FUND"/>
    <s v="City Development"/>
    <x v="0"/>
    <s v="A0005 - SALARIES AND WAGES - ON PAYROLL"/>
    <x v="38"/>
    <s v="97CD6D4F3F26BF"/>
    <s v=" ASTUDILLO, ROBERTO"/>
    <x v="2"/>
    <s v="D54"/>
    <s v="F0100"/>
    <s v="A0005"/>
    <s v="T1407"/>
    <s v="97CD6D4F3F26BF20233644564412838885"/>
  </r>
  <r>
    <n v="2783.5"/>
    <s v="F0100 - CORPORATE FUND"/>
    <s v="City Development"/>
    <x v="0"/>
    <s v="A0005 - SALARIES AND WAGES - ON PAYROLL"/>
    <x v="16"/>
    <s v="2849201E12AFD6"/>
    <s v=" HARMET, KARA M"/>
    <x v="2"/>
    <s v="D54"/>
    <s v="F0100"/>
    <s v="A0005"/>
    <s v="T1912"/>
    <s v="2849201E12AFD620233219326724495857"/>
  </r>
  <r>
    <n v="5816.5"/>
    <s v="F0100 - CORPORATE FUND"/>
    <s v="City Development"/>
    <x v="0"/>
    <s v="A0005 - SALARIES AND WAGES - ON PAYROLL"/>
    <x v="26"/>
    <s v="8DF8DD37E2FDC3"/>
    <s v=" MURPHEY, THOMAS P"/>
    <x v="2"/>
    <s v="D54"/>
    <s v="F0100"/>
    <s v="A0005"/>
    <s v="T9654"/>
    <s v="8DF8DD37E2FDC320233690837777859422"/>
  </r>
  <r>
    <n v="4579.5"/>
    <s v="F0100 - CORPORATE FUND"/>
    <s v="City Development"/>
    <x v="1"/>
    <s v="A0005 - SALARIES AND WAGES - ON PAYROLL"/>
    <x v="37"/>
    <s v="35FA5F14BDD99A"/>
    <s v=" ALSAMMARAE, RIMA A"/>
    <x v="3"/>
    <s v="D21"/>
    <s v="F0100"/>
    <s v="A0005"/>
    <s v="T0705"/>
    <s v="35FA5F14BDD99A2023424955515320527"/>
  </r>
  <r>
    <n v="2665.5"/>
    <s v="F0100 - CORPORATE FUND"/>
    <s v="City Development"/>
    <x v="0"/>
    <s v="A0005 - SALARIES AND WAGES - ON PAYROLL"/>
    <x v="7"/>
    <s v="2CA9E6F50425D8"/>
    <s v=" PENA, ANTONIO G"/>
    <x v="3"/>
    <s v="D54"/>
    <s v="F0100"/>
    <s v="A0005"/>
    <s v="T1293"/>
    <s v="2CA9E6F50425D820234889639598968451"/>
  </r>
  <r>
    <n v="4274"/>
    <s v="F0100 - CORPORATE FUND"/>
    <s v="City Development"/>
    <x v="0"/>
    <s v="A0005 - SALARIES AND WAGES - ON PAYROLL"/>
    <x v="2"/>
    <s v="17BE1C79346928"/>
    <s v=" PATE, ONEIDA R"/>
    <x v="3"/>
    <s v="D54"/>
    <s v="F0100"/>
    <s v="A0005"/>
    <s v="T1405"/>
    <s v="17BE1C7934692820234764340735036429"/>
  </r>
  <r>
    <n v="4423"/>
    <s v="F0100 - CORPORATE FUND"/>
    <s v="City Development"/>
    <x v="0"/>
    <s v="A0005 - SALARIES AND WAGES - ON PAYROLL"/>
    <x v="44"/>
    <s v="8F3FF33ABC1766"/>
    <s v=" SPERRY, HEIDI L"/>
    <x v="3"/>
    <s v="D54"/>
    <s v="F0100"/>
    <s v="A0005"/>
    <s v="T1408"/>
    <s v="8F3FF33ABC176620234370764270682662"/>
  </r>
  <r>
    <n v="3768.5"/>
    <s v="F0100 - CORPORATE FUND"/>
    <s v="City Development"/>
    <x v="0"/>
    <s v="A0005 - SALARIES AND WAGES - ON PAYROLL"/>
    <x v="16"/>
    <s v="4850B0ADA500EA"/>
    <s v=" SCHNEIDER, JOHN A"/>
    <x v="3"/>
    <s v="D54"/>
    <s v="F0100"/>
    <s v="A0005"/>
    <s v="T1912"/>
    <s v="4850B0ADA500EA20234445955909077681"/>
  </r>
  <r>
    <n v="4134.5"/>
    <s v="F0100 - CORPORATE FUND"/>
    <s v="City Development"/>
    <x v="0"/>
    <s v="A0005 - SALARIES AND WAGES - ON PAYROLL"/>
    <x v="16"/>
    <s v="23815B41C0825F"/>
    <s v=" MORENO, BRIAN K"/>
    <x v="3"/>
    <s v="D54"/>
    <s v="F0100"/>
    <s v="A0005"/>
    <s v="T1912"/>
    <s v="23815B41C0825F20234891080416183000"/>
  </r>
  <r>
    <n v="4274"/>
    <s v="F0100 - CORPORATE FUND"/>
    <s v="City Development"/>
    <x v="0"/>
    <s v="A0005 - SALARIES AND WAGES - ON PAYROLL"/>
    <x v="4"/>
    <s v="9B82270E9FBFC9"/>
    <s v=" DAYE, RONALD J"/>
    <x v="3"/>
    <s v="D54"/>
    <s v="F0100"/>
    <s v="A0005"/>
    <s v="T5432"/>
    <s v="9B82270E9FBFC920234433326418297620"/>
  </r>
  <r>
    <n v="-470.25"/>
    <s v="F0100 - CORPORATE FUND"/>
    <s v="City Development"/>
    <x v="0"/>
    <s v="A0005 - SALARIES AND WAGES - ON PAYROLL"/>
    <x v="1"/>
    <s v="90D4F9839B1EE3"/>
    <s v=" GRAYER, SHELIA D"/>
    <x v="6"/>
    <s v="D54"/>
    <s v="F0100"/>
    <s v="A0005"/>
    <s v="T0303"/>
    <s v="90D4F9839B1EE320235316194421748542"/>
  </r>
  <r>
    <n v="-508.78"/>
    <s v="F0100 - CORPORATE FUND"/>
    <s v="City Development"/>
    <x v="0"/>
    <s v="A0005 - SALARIES AND WAGES - ON PAYROLL"/>
    <x v="5"/>
    <s v="8D033298A9797A"/>
    <s v=" RADZEVICH, NANCY M"/>
    <x v="6"/>
    <s v="D54"/>
    <s v="F0100"/>
    <s v="A0005"/>
    <s v="T0313"/>
    <s v="8D033298A9797A20235882737267480520"/>
  </r>
  <r>
    <n v="4330"/>
    <s v="F0100 - CORPORATE FUND"/>
    <s v="City Development"/>
    <x v="0"/>
    <s v="A0005 - SALARIES AND WAGES - ON PAYROLL"/>
    <x v="84"/>
    <s v="5960A9EDFDE9F1"/>
    <s v=" RIVERA, YASMIN M"/>
    <x v="6"/>
    <s v="D54"/>
    <s v="F0100"/>
    <s v="A0005"/>
    <s v="T1315"/>
    <s v="5960A9EDFDE9F120235571070058280296"/>
  </r>
  <r>
    <n v="2384.5500000000002"/>
    <s v="F0100 - CORPORATE FUND"/>
    <s v="Public Safety"/>
    <x v="2"/>
    <s v="A0020 - OVERTIME"/>
    <x v="14"/>
    <s v="241AE96B5E1AA2"/>
    <s v=" MURDOCH,  JASON J"/>
    <x v="10"/>
    <s v="D57"/>
    <s v="F0100"/>
    <s v="A0020"/>
    <s v="T9161"/>
    <s v="241AE96B5E1AA220258992729335343044"/>
  </r>
  <r>
    <n v="3160.5"/>
    <s v="F0100 - CORPORATE FUND"/>
    <s v="City Development"/>
    <x v="0"/>
    <s v="A0005 - SALARIES AND WAGES - ON PAYROLL"/>
    <x v="2"/>
    <s v="0CFC9620D18B26"/>
    <s v=" SMAILBEGOVIC, OMAR"/>
    <x v="6"/>
    <s v="D54"/>
    <s v="F0100"/>
    <s v="A0005"/>
    <s v="T1405"/>
    <s v="0CFC9620D18B2620235837937069039586"/>
  </r>
  <r>
    <n v="4274"/>
    <s v="F0100 - CORPORATE FUND"/>
    <s v="City Development"/>
    <x v="0"/>
    <s v="A0005 - SALARIES AND WAGES - ON PAYROLL"/>
    <x v="2"/>
    <s v="0B53A61E880DE9"/>
    <s v=" ESPINOZA, FERNANDO"/>
    <x v="6"/>
    <s v="D54"/>
    <s v="F0100"/>
    <s v="A0005"/>
    <s v="T1405"/>
    <s v="0B53A61E880DE920235994433937916262"/>
  </r>
  <r>
    <n v="4232.5"/>
    <s v="F0100 - CORPORATE FUND"/>
    <s v="City Development"/>
    <x v="1"/>
    <s v="A0005 - SALARIES AND WAGES - ON PAYROLL"/>
    <x v="30"/>
    <s v="DCCA7ADE67CA55"/>
    <s v=" O'DONNELL, BRIAN"/>
    <x v="7"/>
    <s v="D21"/>
    <s v="F0100"/>
    <s v="A0005"/>
    <s v="T1437"/>
    <s v="DCCA7ADE67CA5520236879458688493940"/>
  </r>
  <r>
    <n v="3166.5"/>
    <s v="F0100 - CORPORATE FUND"/>
    <s v="City Development"/>
    <x v="0"/>
    <s v="A0005 - SALARIES AND WAGES - ON PAYROLL"/>
    <x v="16"/>
    <s v="F7E2A58A9A8CE4"/>
    <s v=" MASON JOHNSON, CHRISTINA"/>
    <x v="7"/>
    <s v="D54"/>
    <s v="F0100"/>
    <s v="A0005"/>
    <s v="T1912"/>
    <s v="F7E2A58A9A8CE420236761614816863013"/>
  </r>
  <r>
    <n v="3768.5"/>
    <s v="F0100 - CORPORATE FUND"/>
    <s v="City Development"/>
    <x v="0"/>
    <s v="A0005 - SALARIES AND WAGES - ON PAYROLL"/>
    <x v="16"/>
    <s v="0CEECAF6BD16BA"/>
    <s v=" HAHN, KANDALYN"/>
    <x v="7"/>
    <s v="D54"/>
    <s v="F0100"/>
    <s v="A0005"/>
    <s v="T1912"/>
    <s v="0CEECAF6BD16BA20236392780518482239"/>
  </r>
  <r>
    <n v="5212"/>
    <s v="F0100 - CORPORATE FUND"/>
    <s v="City Development"/>
    <x v="0"/>
    <s v="A0005 - SALARIES AND WAGES - ON PAYROLL"/>
    <x v="35"/>
    <s v="50F8EE0864C0D0"/>
    <s v=" CURRY, NORA"/>
    <x v="7"/>
    <s v="D54"/>
    <s v="F0100"/>
    <s v="A0005"/>
    <s v="T3092"/>
    <s v="50F8EE0864C0D02023642873782411100"/>
  </r>
  <r>
    <n v="3340.5"/>
    <s v="F0100 - CORPORATE FUND"/>
    <s v="City Development"/>
    <x v="0"/>
    <s v="A0005 - SALARIES AND WAGES - ON PAYROLL"/>
    <x v="3"/>
    <s v="B03B858E2749B9"/>
    <s v=" RAMOS, JOYCE I"/>
    <x v="7"/>
    <s v="D54"/>
    <s v="F0100"/>
    <s v="A0005"/>
    <s v="T5402"/>
    <s v="B03B858E2749B920236938511089831051"/>
  </r>
  <r>
    <n v="4579.5"/>
    <s v="F0100 - CORPORATE FUND"/>
    <s v="City Development"/>
    <x v="1"/>
    <s v="A0005 - SALARIES AND WAGES - ON PAYROLL"/>
    <x v="37"/>
    <s v="35FA5F14BDD99A"/>
    <s v=" ALSAMMARAE, RIMA A"/>
    <x v="8"/>
    <s v="D21"/>
    <s v="F0100"/>
    <s v="A0005"/>
    <s v="T0705"/>
    <s v="35FA5F14BDD99A20237813199455649421"/>
  </r>
  <r>
    <n v="4534"/>
    <s v="F0100 - CORPORATE FUND"/>
    <s v="City Development"/>
    <x v="0"/>
    <s v="A0005 - SALARIES AND WAGES - ON PAYROLL"/>
    <x v="5"/>
    <s v="0A30E99A8A025B"/>
    <s v=" ALBERT, DAMIAN K"/>
    <x v="8"/>
    <s v="D54"/>
    <s v="F0100"/>
    <s v="A0005"/>
    <s v="T0313"/>
    <s v="0A30E99A8A025B20237440179759452995"/>
  </r>
  <r>
    <n v="2708"/>
    <s v="F0100 - CORPORATE FUND"/>
    <s v="City Development"/>
    <x v="0"/>
    <s v="A0005 - SALARIES AND WAGES - ON PAYROLL"/>
    <x v="10"/>
    <s v="C57C9A2F1A1F8D"/>
    <s v=" THOMPSON, TAYLOR J"/>
    <x v="8"/>
    <s v="D54"/>
    <s v="F0100"/>
    <s v="A0005"/>
    <s v="T1602"/>
    <s v="C57C9A2F1A1F8D20237546143194496293"/>
  </r>
  <r>
    <n v="3360.5"/>
    <s v="F0100 - CORPORATE FUND"/>
    <s v="City Development"/>
    <x v="0"/>
    <s v="A0005 - SALARIES AND WAGES - ON PAYROLL"/>
    <x v="10"/>
    <s v="4C90C223CE8BDC"/>
    <s v=" MICHAELS, JAMES"/>
    <x v="8"/>
    <s v="D54"/>
    <s v="F0100"/>
    <s v="A0005"/>
    <s v="T1602"/>
    <s v="4C90C223CE8BDC20237309326090687729"/>
  </r>
  <r>
    <n v="5088"/>
    <s v="F0100 - CORPORATE FUND"/>
    <s v="City Development"/>
    <x v="0"/>
    <s v="A0005 - SALARIES AND WAGES - ON PAYROLL"/>
    <x v="40"/>
    <s v="FEC807F9B1CF02"/>
    <s v=" CUVALO, DIJANA"/>
    <x v="8"/>
    <s v="D54"/>
    <s v="F0100"/>
    <s v="A0005"/>
    <s v="T5404"/>
    <s v="FEC807F9B1CF0220237175786242913466"/>
  </r>
  <r>
    <n v="4064.5"/>
    <s v="F0100 - CORPORATE FUND"/>
    <s v="City Development"/>
    <x v="1"/>
    <s v="A0005 - SALARIES AND WAGES - ON PAYROLL"/>
    <x v="24"/>
    <s v="C0941D522C8AA2"/>
    <s v=" JOHNSON, AARON M"/>
    <x v="10"/>
    <s v="D21"/>
    <s v="F0100"/>
    <s v="A0005"/>
    <s v="T0310"/>
    <s v="C0941D522C8AA220238763588130021216"/>
  </r>
  <r>
    <n v="7916.5"/>
    <s v="F0100 - CORPORATE FUND"/>
    <s v="City Development"/>
    <x v="1"/>
    <s v="A0005 - SALARIES AND WAGES - ON PAYROLL"/>
    <x v="41"/>
    <s v="9CB9A9EE63E5EB"/>
    <s v=" NOVARA, MARISA C"/>
    <x v="10"/>
    <s v="D21"/>
    <s v="F0100"/>
    <s v="A0005"/>
    <s v="T9921"/>
    <s v="9CB9A9EE63E5EB20238433082589322830"/>
  </r>
  <r>
    <n v="731.5"/>
    <s v="F0100 - CORPORATE FUND"/>
    <s v="City Development"/>
    <x v="1"/>
    <s v="A0005 - SALARIES AND WAGES - ON PAYROLL"/>
    <x v="20"/>
    <s v="9267D826BCE759"/>
    <s v=" MCKEE, ZACHARIA G"/>
    <x v="10"/>
    <s v="D21"/>
    <s v="F0100"/>
    <s v="A0005"/>
    <s v="T0404"/>
    <s v="9267D826BCE75920238244459594262630"/>
  </r>
  <r>
    <n v="4534"/>
    <s v="F0100 - CORPORATE FUND"/>
    <s v="City Development"/>
    <x v="0"/>
    <s v="A0005 - SALARIES AND WAGES - ON PAYROLL"/>
    <x v="5"/>
    <s v="26CA8CCA8B78E4"/>
    <s v=" SZAFRANIEC, NOAH J"/>
    <x v="10"/>
    <s v="D54"/>
    <s v="F0100"/>
    <s v="A0005"/>
    <s v="T0313"/>
    <s v="26CA8CCA8B78E420238134005727223989"/>
  </r>
  <r>
    <n v="4672"/>
    <s v="F0100 - CORPORATE FUND"/>
    <s v="City Development"/>
    <x v="0"/>
    <s v="A0005 - SALARIES AND WAGES - ON PAYROLL"/>
    <x v="32"/>
    <s v="DF76509694D2CF"/>
    <s v=" GLASS, ERIK L"/>
    <x v="10"/>
    <s v="D54"/>
    <s v="F0100"/>
    <s v="A0005"/>
    <s v="T1441"/>
    <s v="DF76509694D2CF20238142765029356154"/>
  </r>
  <r>
    <n v="3467"/>
    <s v="F0100 - CORPORATE FUND"/>
    <s v="City Development"/>
    <x v="1"/>
    <s v="A0005 - SALARIES AND WAGES - ON PAYROLL"/>
    <x v="24"/>
    <s v="F76D859E13FC1F"/>
    <s v=" O'CONNOR, STEPH K"/>
    <x v="4"/>
    <s v="D21"/>
    <s v="F0100"/>
    <s v="A0005"/>
    <s v="T0310"/>
    <s v="F76D859E13FC1F2023956119075200531"/>
  </r>
  <r>
    <n v="3467"/>
    <s v="F0100 - CORPORATE FUND"/>
    <s v="City Development"/>
    <x v="1"/>
    <s v="A0005 - SALARIES AND WAGES - ON PAYROLL"/>
    <x v="24"/>
    <s v="10A1E0D57AA009"/>
    <s v=" WHEATEN, KEISHA J"/>
    <x v="4"/>
    <s v="D21"/>
    <s v="F0100"/>
    <s v="A0005"/>
    <s v="T0310"/>
    <s v="10A1E0D57AA00920239155467333091305"/>
  </r>
  <r>
    <n v="4043"/>
    <s v="F0100 - CORPORATE FUND"/>
    <s v="City Development"/>
    <x v="0"/>
    <s v="A0005 - SALARIES AND WAGES - ON PAYROLL"/>
    <x v="27"/>
    <s v="D85FA8CFF69D28"/>
    <s v=" KHALIQUE, FARHAN A"/>
    <x v="4"/>
    <s v="D54"/>
    <s v="F0100"/>
    <s v="A0005"/>
    <s v="T1291"/>
    <s v="D85FA8CFF69D282023986086156154388"/>
  </r>
  <r>
    <n v="2783.5"/>
    <s v="F0100 - CORPORATE FUND"/>
    <s v="City Development"/>
    <x v="0"/>
    <s v="A0005 - SALARIES AND WAGES - ON PAYROLL"/>
    <x v="29"/>
    <s v="D55E0AE91386C5"/>
    <s v=" ALNASER, ANNA Y"/>
    <x v="4"/>
    <s v="D54"/>
    <s v="F0100"/>
    <s v="A0005"/>
    <s v="T1310"/>
    <s v="D55E0AE91386C520239846267547432053"/>
  </r>
  <r>
    <n v="4274"/>
    <s v="F0100 - CORPORATE FUND"/>
    <s v="City Development"/>
    <x v="0"/>
    <s v="A0005 - SALARIES AND WAGES - ON PAYROLL"/>
    <x v="2"/>
    <s v="17BE1C79346928"/>
    <s v=" PATE, ONEIDA R"/>
    <x v="4"/>
    <s v="D54"/>
    <s v="F0100"/>
    <s v="A0005"/>
    <s v="T1405"/>
    <s v="17BE1C7934692820239929424720276900"/>
  </r>
  <r>
    <n v="4672"/>
    <s v="F0100 - CORPORATE FUND"/>
    <s v="City Development"/>
    <x v="0"/>
    <s v="A0005 - SALARIES AND WAGES - ON PAYROLL"/>
    <x v="32"/>
    <s v="DF76509694D2CF"/>
    <s v=" GLASS, ERIK L"/>
    <x v="4"/>
    <s v="D54"/>
    <s v="F0100"/>
    <s v="A0005"/>
    <s v="T1441"/>
    <s v="DF76509694D2CF20239381076298676786"/>
  </r>
  <r>
    <n v="5317"/>
    <s v="F0100 - CORPORATE FUND"/>
    <s v="City Development"/>
    <x v="0"/>
    <s v="A0005 - SALARIES AND WAGES - ON PAYROLL"/>
    <x v="17"/>
    <s v="82B04939FB8D7C"/>
    <s v=" GARCIA, GERARDO"/>
    <x v="4"/>
    <s v="D54"/>
    <s v="F0100"/>
    <s v="A0005"/>
    <s v="T9679"/>
    <s v="82B04939FB8D7C20239867582460091636"/>
  </r>
  <r>
    <n v="3467"/>
    <s v="F0100 - CORPORATE FUND"/>
    <s v="City Development"/>
    <x v="1"/>
    <s v="A0005 - SALARIES AND WAGES - ON PAYROLL"/>
    <x v="24"/>
    <s v="10A1E0D57AA009"/>
    <s v=" WHEATEN, KEISHA J"/>
    <x v="11"/>
    <s v="D21"/>
    <s v="F0100"/>
    <s v="A0005"/>
    <s v="T0310"/>
    <s v="10A1E0D57AA009202310488810432414579"/>
  </r>
  <r>
    <n v="3398"/>
    <s v="F0100 - CORPORATE FUND"/>
    <s v="City Development"/>
    <x v="1"/>
    <s v="A0005 - SALARIES AND WAGES - ON PAYROLL"/>
    <x v="30"/>
    <s v="D4A27913C9EEDD"/>
    <s v=" COLLINS, KATRINA M"/>
    <x v="11"/>
    <s v="D21"/>
    <s v="F0100"/>
    <s v="A0005"/>
    <s v="T1437"/>
    <s v="D4A27913C9EEDD202310515293332929579"/>
  </r>
  <r>
    <n v="831.6"/>
    <s v="F0100 - CORPORATE FUND"/>
    <s v="City Development"/>
    <x v="1"/>
    <s v="A0005 - SALARIES AND WAGES - ON PAYROLL"/>
    <x v="20"/>
    <s v="A8DBAEAB083E9C"/>
    <s v=" O'BRIEN, JACK F"/>
    <x v="11"/>
    <s v="D21"/>
    <s v="F0100"/>
    <s v="A0005"/>
    <s v="T0404"/>
    <s v="A8DBAEAB083E9C202310426267398732260"/>
  </r>
  <r>
    <n v="4766"/>
    <s v="F0100 - CORPORATE FUND"/>
    <s v="City Development"/>
    <x v="0"/>
    <s v="A0005 - SALARIES AND WAGES - ON PAYROLL"/>
    <x v="5"/>
    <s v="407CE0488AC004"/>
    <s v=" MOODY, PAUL A"/>
    <x v="11"/>
    <s v="D54"/>
    <s v="F0100"/>
    <s v="A0005"/>
    <s v="T0313"/>
    <s v="407CE0488AC004202310696995421150873"/>
  </r>
  <r>
    <n v="4541.5"/>
    <s v="F0100 - CORPORATE FUND"/>
    <s v="City Development"/>
    <x v="0"/>
    <s v="A0005 - SALARIES AND WAGES - ON PAYROLL"/>
    <x v="7"/>
    <s v="9A02E547CCA939"/>
    <s v=" HILL, JANICE D"/>
    <x v="11"/>
    <s v="D54"/>
    <s v="F0100"/>
    <s v="A0005"/>
    <s v="T1293"/>
    <s v="9A02E547CCA93920231049541411202765"/>
  </r>
  <r>
    <n v="5478"/>
    <s v="F0100 - CORPORATE FUND"/>
    <s v="City Development"/>
    <x v="0"/>
    <s v="A0005 - SALARIES AND WAGES - ON PAYROLL"/>
    <x v="17"/>
    <s v="3EF80AD5153430"/>
    <s v=" SCHMITZ, MATTHEW M"/>
    <x v="11"/>
    <s v="D54"/>
    <s v="F0100"/>
    <s v="A0005"/>
    <s v="T9679"/>
    <s v="3EF80AD5153430202310768159619710637"/>
  </r>
  <r>
    <n v="4064.5"/>
    <s v="F0100 - CORPORATE FUND"/>
    <s v="City Development"/>
    <x v="1"/>
    <s v="A0005 - SALARIES AND WAGES - ON PAYROLL"/>
    <x v="24"/>
    <s v="C0941D522C8AA2"/>
    <s v=" JOHNSON, AARON M"/>
    <x v="5"/>
    <s v="D21"/>
    <s v="F0100"/>
    <s v="A0005"/>
    <s v="T0310"/>
    <s v="C0941D522C8AA2202311374788574306986"/>
  </r>
  <r>
    <n v="2206.5"/>
    <s v="F0100 - CORPORATE FUND"/>
    <s v="City Development"/>
    <x v="1"/>
    <s v="A0005 - SALARIES AND WAGES - ON PAYROLL"/>
    <x v="33"/>
    <s v="B997D21DD188D1"/>
    <s v=" WINDMON, HEATHER E"/>
    <x v="5"/>
    <s v="D21"/>
    <s v="F0100"/>
    <s v="A0005"/>
    <s v="T0366"/>
    <s v="B997D21DD188D1202311490948330505957"/>
  </r>
  <r>
    <n v="3552"/>
    <s v="F0100 - CORPORATE FUND"/>
    <s v="City Development"/>
    <x v="1"/>
    <s v="A0005 - SALARIES AND WAGES - ON PAYROLL"/>
    <x v="30"/>
    <s v="5E873B8A25701F"/>
    <s v=" JONES, VONETTA M"/>
    <x v="5"/>
    <s v="D21"/>
    <s v="F0100"/>
    <s v="A0005"/>
    <s v="T1437"/>
    <s v="5E873B8A25701F20231184260374585697"/>
  </r>
  <r>
    <n v="2783.5"/>
    <s v="F0100 - CORPORATE FUND"/>
    <s v="City Development"/>
    <x v="1"/>
    <s v="A0005 - SALARIES AND WAGES - ON PAYROLL"/>
    <x v="16"/>
    <s v="0334E70151367D"/>
    <s v=" MAYFIELD, ALEXIS S"/>
    <x v="5"/>
    <s v="D21"/>
    <s v="F0100"/>
    <s v="A0005"/>
    <s v="T1912"/>
    <s v="0334E70151367D202311291274652725823"/>
  </r>
  <r>
    <n v="654.5"/>
    <s v="F0100 - CORPORATE FUND"/>
    <s v="City Development"/>
    <x v="1"/>
    <s v="A0005 - SALARIES AND WAGES - ON PAYROLL"/>
    <x v="20"/>
    <s v="A8DBAEAB083E9C"/>
    <s v=" O'BRIEN, JACK F"/>
    <x v="5"/>
    <s v="D21"/>
    <s v="F0100"/>
    <s v="A0005"/>
    <s v="T0404"/>
    <s v="A8DBAEAB083E9C202311639609210515667"/>
  </r>
  <r>
    <n v="5401.5"/>
    <s v="F0100 - CORPORATE FUND"/>
    <s v="City Development"/>
    <x v="0"/>
    <s v="A0005 - SALARIES AND WAGES - ON PAYROLL"/>
    <x v="6"/>
    <s v="B8E59990646B62"/>
    <s v=" BUDNIK, ALESSANDRA C"/>
    <x v="5"/>
    <s v="D54"/>
    <s v="F0100"/>
    <s v="A0005"/>
    <s v="T0118"/>
    <s v="B8E59990646B62202311579036299837796"/>
  </r>
  <r>
    <n v="4778.5"/>
    <s v="F0100 - CORPORATE FUND"/>
    <s v="City Development"/>
    <x v="0"/>
    <s v="A0005 - SALARIES AND WAGES - ON PAYROLL"/>
    <x v="5"/>
    <s v="816FFCA85FAFED"/>
    <s v=" ROSCHEN, MARK E"/>
    <x v="5"/>
    <s v="D54"/>
    <s v="F0100"/>
    <s v="A0005"/>
    <s v="T0313"/>
    <s v="816FFCA85FAFED202311325989596575452"/>
  </r>
  <r>
    <n v="4541.5"/>
    <s v="F0100 - CORPORATE FUND"/>
    <s v="City Development"/>
    <x v="0"/>
    <s v="A0005 - SALARIES AND WAGES - ON PAYROLL"/>
    <x v="7"/>
    <s v="AF76F191B02EDD"/>
    <s v=" GAETA, JOSE O"/>
    <x v="5"/>
    <s v="D54"/>
    <s v="F0100"/>
    <s v="A0005"/>
    <s v="T1293"/>
    <s v="AF76F191B02EDD202311967471569388951"/>
  </r>
  <r>
    <n v="3875"/>
    <s v="F0100 - CORPORATE FUND"/>
    <s v="City Development"/>
    <x v="0"/>
    <s v="A0005 - SALARIES AND WAGES - ON PAYROLL"/>
    <x v="44"/>
    <s v="B79B24BB0FAF35"/>
    <s v=" MARTINEZ, CARMEN M"/>
    <x v="5"/>
    <s v="D54"/>
    <s v="F0100"/>
    <s v="A0005"/>
    <s v="T1408"/>
    <s v="B79B24BB0FAF35202311635303660333586"/>
  </r>
  <r>
    <n v="2872.5"/>
    <s v="F0100 - CORPORATE FUND"/>
    <s v="City Development"/>
    <x v="0"/>
    <s v="A0005 - SALARIES AND WAGES - ON PAYROLL"/>
    <x v="10"/>
    <s v="C57C9A2F1A1F8D"/>
    <s v=" THOMPSON, TAYLOR J"/>
    <x v="5"/>
    <s v="D54"/>
    <s v="F0100"/>
    <s v="A0005"/>
    <s v="T1602"/>
    <s v="C57C9A2F1A1F8D202311240879732132174"/>
  </r>
  <r>
    <n v="3398"/>
    <s v="F0100 - CORPORATE FUND"/>
    <s v="City Development"/>
    <x v="0"/>
    <s v="A0005 - SALARIES AND WAGES - ON PAYROLL"/>
    <x v="23"/>
    <s v="CB69C9459F68D3"/>
    <s v=" MUHAMMAD, FARIDUDDIN M"/>
    <x v="5"/>
    <s v="D54"/>
    <s v="F0100"/>
    <s v="A0005"/>
    <s v="T1984"/>
    <s v="CB69C9459F68D3202311689389163915091"/>
  </r>
  <r>
    <n v="3467"/>
    <s v="F0100 - CORPORATE FUND"/>
    <s v="City Development"/>
    <x v="1"/>
    <s v="A0005 - SALARIES AND WAGES - ON PAYROLL"/>
    <x v="24"/>
    <s v="67EAB9287E4C41"/>
    <s v=" LOERA JR, ELISEO"/>
    <x v="17"/>
    <s v="D21"/>
    <s v="F0100"/>
    <s v="A0005"/>
    <s v="T0310"/>
    <s v="67EAB9287E4C41202312714954925597811"/>
  </r>
  <r>
    <n v="4229.5"/>
    <s v="F0100 - CORPORATE FUND"/>
    <s v="City Development"/>
    <x v="1"/>
    <s v="A0005 - SALARIES AND WAGES - ON PAYROLL"/>
    <x v="24"/>
    <s v="0CE7E5BE6A6E31"/>
    <s v=" MUNGIN, WHITNI E"/>
    <x v="17"/>
    <s v="D21"/>
    <s v="F0100"/>
    <s v="A0005"/>
    <s v="T0310"/>
    <s v="0CE7E5BE6A6E31202312504275846324401"/>
  </r>
  <r>
    <n v="3945"/>
    <s v="F0100 - CORPORATE FUND"/>
    <s v="City Development"/>
    <x v="1"/>
    <s v="A0005 - SALARIES AND WAGES - ON PAYROLL"/>
    <x v="8"/>
    <s v="1AFFC8FE80ACB6"/>
    <s v=" NELSON, GABRIELLA M"/>
    <x v="17"/>
    <s v="D21"/>
    <s v="F0100"/>
    <s v="A0005"/>
    <s v="T1430"/>
    <s v="1AFFC8FE80ACB6202312286101340965049"/>
  </r>
  <r>
    <n v="2140.36"/>
    <s v="F0100 - CORPORATE FUND"/>
    <s v="City Development"/>
    <x v="0"/>
    <s v="A0005 - SALARIES AND WAGES - ON PAYROLL"/>
    <x v="7"/>
    <s v="52B58AD20DA2BB"/>
    <s v=" TOMBARI, EDWARD A"/>
    <x v="17"/>
    <s v="D54"/>
    <s v="F0100"/>
    <s v="A0005"/>
    <s v="T1293"/>
    <s v="52B58AD20DA2BB2023128375987121308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945A0-80E0-4F92-B0AF-42430570ED7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19" firstHeaderRow="1" firstDataRow="1" firstDataCol="1"/>
  <pivotFields count="14">
    <pivotField dataField="1" showAll="0"/>
    <pivotField showAll="0"/>
    <pivotField showAll="0"/>
    <pivotField axis="axisRow" showAll="0">
      <items count="16">
        <item x="1"/>
        <item x="14"/>
        <item x="4"/>
        <item x="9"/>
        <item x="0"/>
        <item x="2"/>
        <item x="10"/>
        <item x="3"/>
        <item x="8"/>
        <item x="13"/>
        <item x="12"/>
        <item x="6"/>
        <item x="5"/>
        <item x="11"/>
        <item x="7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AMOUNT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37FDB-AAFA-49F9-9292-193ACF2B0412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D3:E2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numFmtId="1" showAll="0">
      <items count="24">
        <item x="0"/>
        <item x="1"/>
        <item x="2"/>
        <item x="3"/>
        <item x="6"/>
        <item x="7"/>
        <item x="8"/>
        <item x="10"/>
        <item x="4"/>
        <item x="11"/>
        <item x="5"/>
        <item x="17"/>
        <item x="16"/>
        <item x="18"/>
        <item x="21"/>
        <item x="14"/>
        <item x="20"/>
        <item x="13"/>
        <item x="12"/>
        <item x="19"/>
        <item x="15"/>
        <item x="22"/>
        <item x="9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AMOUNT" fld="0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8" type="button" dataOnly="0" labelOnly="1" outline="0" axis="axisRow" fieldPosition="0"/>
    </format>
    <format dxfId="17">
      <pivotArea dataOnly="0" labelOnly="1" fieldPosition="0">
        <references count="1">
          <reference field="8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8A6CB-1986-46C5-B9A4-742B5E427533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89" firstHeaderRow="1" firstDataRow="1" firstDataCol="1"/>
  <pivotFields count="14">
    <pivotField dataField="1" showAll="0"/>
    <pivotField showAll="0"/>
    <pivotField showAll="0"/>
    <pivotField showAll="0"/>
    <pivotField showAll="0"/>
    <pivotField axis="axisRow" showAll="0">
      <items count="86">
        <item x="0"/>
        <item x="51"/>
        <item x="78"/>
        <item x="6"/>
        <item x="1"/>
        <item x="36"/>
        <item x="21"/>
        <item x="24"/>
        <item x="5"/>
        <item x="22"/>
        <item x="33"/>
        <item x="15"/>
        <item x="20"/>
        <item x="60"/>
        <item x="49"/>
        <item x="65"/>
        <item x="82"/>
        <item x="37"/>
        <item x="34"/>
        <item x="18"/>
        <item x="76"/>
        <item x="80"/>
        <item x="31"/>
        <item x="27"/>
        <item x="7"/>
        <item x="25"/>
        <item x="29"/>
        <item x="84"/>
        <item x="79"/>
        <item x="2"/>
        <item x="38"/>
        <item x="44"/>
        <item x="8"/>
        <item x="30"/>
        <item x="32"/>
        <item x="75"/>
        <item x="10"/>
        <item x="16"/>
        <item x="23"/>
        <item x="11"/>
        <item x="50"/>
        <item x="9"/>
        <item x="45"/>
        <item x="35"/>
        <item x="69"/>
        <item x="47"/>
        <item x="66"/>
        <item x="3"/>
        <item x="40"/>
        <item x="12"/>
        <item x="4"/>
        <item x="59"/>
        <item x="43"/>
        <item x="61"/>
        <item x="58"/>
        <item x="83"/>
        <item x="68"/>
        <item x="57"/>
        <item x="72"/>
        <item x="54"/>
        <item x="62"/>
        <item x="56"/>
        <item x="52"/>
        <item x="73"/>
        <item x="63"/>
        <item x="70"/>
        <item x="28"/>
        <item x="53"/>
        <item x="64"/>
        <item x="14"/>
        <item x="74"/>
        <item x="46"/>
        <item x="55"/>
        <item x="67"/>
        <item x="13"/>
        <item x="77"/>
        <item x="71"/>
        <item x="48"/>
        <item x="39"/>
        <item x="26"/>
        <item x="81"/>
        <item x="17"/>
        <item x="19"/>
        <item x="41"/>
        <item x="42"/>
        <item t="default"/>
      </items>
    </pivotField>
    <pivotField showAll="0"/>
    <pivotField showAll="0"/>
    <pivotField numFmtId="1" showAll="0">
      <items count="24">
        <item x="0"/>
        <item x="1"/>
        <item x="2"/>
        <item x="3"/>
        <item x="6"/>
        <item x="7"/>
        <item x="8"/>
        <item x="10"/>
        <item x="4"/>
        <item x="11"/>
        <item x="5"/>
        <item x="17"/>
        <item x="16"/>
        <item x="18"/>
        <item x="21"/>
        <item x="14"/>
        <item x="20"/>
        <item x="13"/>
        <item x="12"/>
        <item x="19"/>
        <item x="15"/>
        <item x="22"/>
        <item x="9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Items count="1">
    <i/>
  </colItems>
  <dataFields count="1">
    <dataField name="Sum of AMOUNT" fld="0" baseField="0" baseItem="0"/>
  </dataFields>
  <formats count="7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5" type="button" dataOnly="0" labelOnly="1" outline="0" axis="axisRow" fieldPosition="0"/>
    </format>
    <format dxfId="24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">
      <pivotArea dataOnly="0" labelOnly="1" fieldPosition="0">
        <references count="1">
          <reference field="5" count="3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</reference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7A9E-4CF3-47A4-ACE0-9587E143FB6B}">
  <dimension ref="A3:I24"/>
  <sheetViews>
    <sheetView showGridLines="0" tabSelected="1" zoomScale="90" zoomScaleNormal="90" workbookViewId="0">
      <selection activeCell="J22" sqref="J22"/>
    </sheetView>
  </sheetViews>
  <sheetFormatPr defaultRowHeight="15" x14ac:dyDescent="0.25"/>
  <cols>
    <col min="1" max="1" width="56.42578125" bestFit="1" customWidth="1"/>
    <col min="2" max="2" width="15" bestFit="1" customWidth="1"/>
    <col min="4" max="4" width="22.7109375" customWidth="1"/>
    <col min="5" max="5" width="27.5703125" customWidth="1"/>
  </cols>
  <sheetData>
    <row r="3" spans="1:2" ht="15.75" thickBot="1" x14ac:dyDescent="0.3"/>
    <row r="4" spans="1:2" ht="17.25" customHeight="1" x14ac:dyDescent="0.25">
      <c r="A4" s="8" t="s">
        <v>1563</v>
      </c>
      <c r="B4" s="8" t="s">
        <v>1564</v>
      </c>
    </row>
    <row r="5" spans="1:2" ht="15.75" customHeight="1" x14ac:dyDescent="0.25">
      <c r="A5" s="21" t="s">
        <v>86</v>
      </c>
      <c r="B5" s="22">
        <f>SUMIF('US Employee Payroll Cleaned'!D:D,A5,'US Employee Payroll Cleaned'!A:A)</f>
        <v>389719.67</v>
      </c>
    </row>
    <row r="6" spans="1:2" x14ac:dyDescent="0.25">
      <c r="A6" s="21" t="s">
        <v>1050</v>
      </c>
      <c r="B6" s="22">
        <f>SUMIF('US Employee Payroll Cleaned'!D:D,A6,'US Employee Payroll Cleaned'!A:A)</f>
        <v>7571.5</v>
      </c>
    </row>
    <row r="7" spans="1:2" x14ac:dyDescent="0.25">
      <c r="A7" s="21" t="s">
        <v>668</v>
      </c>
      <c r="B7" s="22">
        <f>SUMIF('US Employee Payroll Cleaned'!D:D,A7,'US Employee Payroll Cleaned'!A:A)</f>
        <v>3316.5899999999997</v>
      </c>
    </row>
    <row r="8" spans="1:2" x14ac:dyDescent="0.25">
      <c r="A8" s="21" t="s">
        <v>780</v>
      </c>
      <c r="B8" s="22">
        <f>SUMIF('US Employee Payroll Cleaned'!D:D,A8,'US Employee Payroll Cleaned'!A:A)</f>
        <v>180.08</v>
      </c>
    </row>
    <row r="9" spans="1:2" x14ac:dyDescent="0.25">
      <c r="A9" s="21" t="s">
        <v>21</v>
      </c>
      <c r="B9" s="22">
        <f>SUMIF('US Employee Payroll Cleaned'!D:D,A9,'US Employee Payroll Cleaned'!A:A)</f>
        <v>1187060.1500000001</v>
      </c>
    </row>
    <row r="10" spans="1:2" x14ac:dyDescent="0.25">
      <c r="A10" s="21" t="s">
        <v>124</v>
      </c>
      <c r="B10" s="22">
        <f>SUMIF('US Employee Payroll Cleaned'!D:D,A10,'US Employee Payroll Cleaned'!A:A)</f>
        <v>101874.78</v>
      </c>
    </row>
    <row r="11" spans="1:2" x14ac:dyDescent="0.25">
      <c r="A11" s="21" t="s">
        <v>274</v>
      </c>
      <c r="B11" s="22">
        <f>SUMIF('US Employee Payroll Cleaned'!D:D,A11,'US Employee Payroll Cleaned'!A:A)</f>
        <v>20075.580000000005</v>
      </c>
    </row>
    <row r="12" spans="1:2" x14ac:dyDescent="0.25">
      <c r="A12" s="21" t="s">
        <v>790</v>
      </c>
      <c r="B12" s="22">
        <f>SUMIF('US Employee Payroll Cleaned'!D:D,A12,'US Employee Payroll Cleaned'!A:A)</f>
        <v>5416.08</v>
      </c>
    </row>
    <row r="13" spans="1:2" x14ac:dyDescent="0.25">
      <c r="A13" s="21" t="s">
        <v>769</v>
      </c>
      <c r="B13" s="22">
        <f>SUMIF('US Employee Payroll Cleaned'!D:D,A13,'US Employee Payroll Cleaned'!A:A)</f>
        <v>769.44</v>
      </c>
    </row>
    <row r="14" spans="1:2" x14ac:dyDescent="0.25">
      <c r="A14" s="21" t="s">
        <v>1014</v>
      </c>
      <c r="B14" s="22">
        <f>SUMIF('US Employee Payroll Cleaned'!D:D,A14,'US Employee Payroll Cleaned'!A:A)</f>
        <v>1934</v>
      </c>
    </row>
    <row r="15" spans="1:2" x14ac:dyDescent="0.25">
      <c r="A15" s="21" t="s">
        <v>842</v>
      </c>
      <c r="B15" s="22">
        <f>SUMIF('US Employee Payroll Cleaned'!D:D,A15,'US Employee Payroll Cleaned'!A:A)</f>
        <v>6530.21</v>
      </c>
    </row>
    <row r="16" spans="1:2" x14ac:dyDescent="0.25">
      <c r="A16" s="21" t="s">
        <v>746</v>
      </c>
      <c r="B16" s="22">
        <f>SUMIF('US Employee Payroll Cleaned'!D:D,A16,'US Employee Payroll Cleaned'!A:A)</f>
        <v>10964.9</v>
      </c>
    </row>
    <row r="17" spans="1:9" x14ac:dyDescent="0.25">
      <c r="A17" s="21" t="s">
        <v>735</v>
      </c>
      <c r="B17" s="22">
        <f>SUMIF('US Employee Payroll Cleaned'!D:D,A17,'US Employee Payroll Cleaned'!A:A)</f>
        <v>1068.1300000000001</v>
      </c>
    </row>
    <row r="18" spans="1:9" x14ac:dyDescent="0.25">
      <c r="A18" s="21" t="s">
        <v>757</v>
      </c>
      <c r="B18" s="22">
        <f>SUMIF('US Employee Payroll Cleaned'!D:D,A18,'US Employee Payroll Cleaned'!A:A)</f>
        <v>1713.96</v>
      </c>
    </row>
    <row r="19" spans="1:9" ht="15.75" thickBot="1" x14ac:dyDescent="0.3">
      <c r="A19" s="23" t="s">
        <v>809</v>
      </c>
      <c r="B19" s="24">
        <f>SUMIF('US Employee Payroll Cleaned'!D:D,A19,'US Employee Payroll Cleaned'!A:A)</f>
        <v>6034.9400000000005</v>
      </c>
    </row>
    <row r="20" spans="1:9" ht="15.75" x14ac:dyDescent="0.25">
      <c r="A20" s="29" t="s">
        <v>1573</v>
      </c>
      <c r="B20" s="30"/>
    </row>
    <row r="21" spans="1:9" x14ac:dyDescent="0.25">
      <c r="A21" s="17" t="s">
        <v>1564</v>
      </c>
      <c r="B21" s="18">
        <f>SUM('US Employee Payroll Cleaned'!A:A)</f>
        <v>1744230.0100000005</v>
      </c>
    </row>
    <row r="22" spans="1:9" x14ac:dyDescent="0.25">
      <c r="A22" s="17" t="s">
        <v>1571</v>
      </c>
      <c r="B22" s="18">
        <f>AVERAGE('US Employee Payroll Cleaned'!A:A)</f>
        <v>3495.4509218436883</v>
      </c>
    </row>
    <row r="23" spans="1:9" ht="15.75" thickBot="1" x14ac:dyDescent="0.3">
      <c r="A23" s="19" t="s">
        <v>1572</v>
      </c>
      <c r="B23" s="20">
        <f>COUNTA('US Employee Payroll Cleaned'!G:G)</f>
        <v>500</v>
      </c>
    </row>
    <row r="24" spans="1:9" x14ac:dyDescent="0.25">
      <c r="I24" t="s">
        <v>1568</v>
      </c>
    </row>
  </sheetData>
  <mergeCells count="1">
    <mergeCell ref="A20:B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22.85546875" customWidth="1"/>
    <col min="3" max="3" width="53.28515625" customWidth="1"/>
    <col min="4" max="4" width="24.42578125" customWidth="1"/>
    <col min="5" max="26" width="8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2023</v>
      </c>
      <c r="L2" s="1">
        <v>1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x14ac:dyDescent="0.25">
      <c r="A3" s="1" t="s">
        <v>32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33</v>
      </c>
      <c r="H3" s="1" t="s">
        <v>34</v>
      </c>
      <c r="I3" s="1" t="s">
        <v>35</v>
      </c>
      <c r="J3" s="1" t="s">
        <v>26</v>
      </c>
      <c r="K3" s="1">
        <v>2023</v>
      </c>
      <c r="L3" s="1">
        <v>1</v>
      </c>
      <c r="M3" s="1" t="s">
        <v>27</v>
      </c>
      <c r="N3" s="1" t="s">
        <v>28</v>
      </c>
      <c r="O3" s="1" t="s">
        <v>29</v>
      </c>
      <c r="P3" s="1" t="s">
        <v>36</v>
      </c>
      <c r="Q3" s="1" t="s">
        <v>37</v>
      </c>
    </row>
    <row r="4" spans="1:17" x14ac:dyDescent="0.25">
      <c r="A4" s="1" t="s">
        <v>38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39</v>
      </c>
      <c r="H4" s="1" t="s">
        <v>40</v>
      </c>
      <c r="I4" s="1" t="s">
        <v>41</v>
      </c>
      <c r="J4" s="1" t="s">
        <v>26</v>
      </c>
      <c r="K4" s="1">
        <v>2023</v>
      </c>
      <c r="L4" s="1">
        <v>1</v>
      </c>
      <c r="M4" s="1" t="s">
        <v>27</v>
      </c>
      <c r="N4" s="1" t="s">
        <v>28</v>
      </c>
      <c r="O4" s="1" t="s">
        <v>29</v>
      </c>
      <c r="P4" s="1" t="s">
        <v>42</v>
      </c>
      <c r="Q4" s="1" t="s">
        <v>43</v>
      </c>
    </row>
    <row r="5" spans="1:17" x14ac:dyDescent="0.25">
      <c r="A5" s="1" t="s">
        <v>44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39</v>
      </c>
      <c r="H5" s="1" t="s">
        <v>45</v>
      </c>
      <c r="I5" s="1" t="s">
        <v>46</v>
      </c>
      <c r="J5" s="1" t="s">
        <v>26</v>
      </c>
      <c r="K5" s="1">
        <v>2023</v>
      </c>
      <c r="L5" s="1">
        <v>1</v>
      </c>
      <c r="M5" s="1" t="s">
        <v>27</v>
      </c>
      <c r="N5" s="1" t="s">
        <v>28</v>
      </c>
      <c r="O5" s="1" t="s">
        <v>29</v>
      </c>
      <c r="P5" s="1" t="s">
        <v>42</v>
      </c>
      <c r="Q5" s="1" t="s">
        <v>47</v>
      </c>
    </row>
    <row r="6" spans="1:17" x14ac:dyDescent="0.25">
      <c r="A6" s="1" t="s">
        <v>48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49</v>
      </c>
      <c r="H6" s="1" t="s">
        <v>50</v>
      </c>
      <c r="I6" s="1" t="s">
        <v>51</v>
      </c>
      <c r="J6" s="1" t="s">
        <v>26</v>
      </c>
      <c r="K6" s="1">
        <v>2023</v>
      </c>
      <c r="L6" s="1">
        <v>1</v>
      </c>
      <c r="M6" s="1" t="s">
        <v>27</v>
      </c>
      <c r="N6" s="1" t="s">
        <v>28</v>
      </c>
      <c r="O6" s="1" t="s">
        <v>29</v>
      </c>
      <c r="P6" s="1" t="s">
        <v>52</v>
      </c>
      <c r="Q6" s="1" t="s">
        <v>53</v>
      </c>
    </row>
    <row r="7" spans="1:17" x14ac:dyDescent="0.25">
      <c r="A7" s="1" t="s">
        <v>54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55</v>
      </c>
      <c r="H7" s="1" t="s">
        <v>56</v>
      </c>
      <c r="I7" s="1" t="s">
        <v>57</v>
      </c>
      <c r="J7" s="1" t="s">
        <v>26</v>
      </c>
      <c r="K7" s="1">
        <v>2023</v>
      </c>
      <c r="L7" s="1">
        <v>1</v>
      </c>
      <c r="M7" s="1" t="s">
        <v>27</v>
      </c>
      <c r="N7" s="1" t="s">
        <v>28</v>
      </c>
      <c r="O7" s="1" t="s">
        <v>29</v>
      </c>
      <c r="P7" s="1" t="s">
        <v>58</v>
      </c>
      <c r="Q7" s="1" t="s">
        <v>59</v>
      </c>
    </row>
    <row r="8" spans="1:17" x14ac:dyDescent="0.25">
      <c r="A8" s="1" t="s">
        <v>60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61</v>
      </c>
      <c r="H8" s="1" t="s">
        <v>62</v>
      </c>
      <c r="I8" s="1" t="s">
        <v>63</v>
      </c>
      <c r="J8" s="1" t="s">
        <v>64</v>
      </c>
      <c r="K8" s="1">
        <v>2023</v>
      </c>
      <c r="L8" s="1">
        <v>2</v>
      </c>
      <c r="M8" s="1" t="s">
        <v>27</v>
      </c>
      <c r="N8" s="1" t="s">
        <v>28</v>
      </c>
      <c r="O8" s="1" t="s">
        <v>29</v>
      </c>
      <c r="P8" s="1" t="s">
        <v>65</v>
      </c>
      <c r="Q8" s="1" t="s">
        <v>66</v>
      </c>
    </row>
    <row r="9" spans="1:17" x14ac:dyDescent="0.25">
      <c r="A9" s="1" t="s">
        <v>67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68</v>
      </c>
      <c r="H9" s="1" t="s">
        <v>69</v>
      </c>
      <c r="I9" s="1" t="s">
        <v>70</v>
      </c>
      <c r="J9" s="1" t="s">
        <v>26</v>
      </c>
      <c r="K9" s="1">
        <v>2023</v>
      </c>
      <c r="L9" s="1">
        <v>2</v>
      </c>
      <c r="M9" s="1" t="s">
        <v>27</v>
      </c>
      <c r="N9" s="1" t="s">
        <v>28</v>
      </c>
      <c r="O9" s="1" t="s">
        <v>29</v>
      </c>
      <c r="P9" s="1" t="s">
        <v>71</v>
      </c>
      <c r="Q9" s="1" t="s">
        <v>72</v>
      </c>
    </row>
    <row r="10" spans="1:17" x14ac:dyDescent="0.25">
      <c r="A10" s="1" t="s">
        <v>32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33</v>
      </c>
      <c r="H10" s="1" t="s">
        <v>34</v>
      </c>
      <c r="I10" s="1" t="s">
        <v>35</v>
      </c>
      <c r="J10" s="1" t="s">
        <v>26</v>
      </c>
      <c r="K10" s="1">
        <v>2023</v>
      </c>
      <c r="L10" s="1">
        <v>2</v>
      </c>
      <c r="M10" s="1" t="s">
        <v>27</v>
      </c>
      <c r="N10" s="1" t="s">
        <v>28</v>
      </c>
      <c r="O10" s="1" t="s">
        <v>29</v>
      </c>
      <c r="P10" s="1" t="s">
        <v>36</v>
      </c>
      <c r="Q10" s="1" t="s">
        <v>73</v>
      </c>
    </row>
    <row r="11" spans="1:17" x14ac:dyDescent="0.25">
      <c r="A11" s="1" t="s">
        <v>74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75</v>
      </c>
      <c r="H11" s="1" t="s">
        <v>76</v>
      </c>
      <c r="I11" s="1" t="s">
        <v>77</v>
      </c>
      <c r="J11" s="1" t="s">
        <v>26</v>
      </c>
      <c r="K11" s="1">
        <v>2023</v>
      </c>
      <c r="L11" s="1">
        <v>2</v>
      </c>
      <c r="M11" s="1" t="s">
        <v>27</v>
      </c>
      <c r="N11" s="1" t="s">
        <v>28</v>
      </c>
      <c r="O11" s="1" t="s">
        <v>29</v>
      </c>
      <c r="P11" s="1" t="s">
        <v>78</v>
      </c>
      <c r="Q11" s="1" t="s">
        <v>79</v>
      </c>
    </row>
    <row r="12" spans="1:17" x14ac:dyDescent="0.25">
      <c r="A12" s="1" t="s">
        <v>80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75</v>
      </c>
      <c r="H12" s="1" t="s">
        <v>81</v>
      </c>
      <c r="I12" s="1" t="s">
        <v>82</v>
      </c>
      <c r="J12" s="1" t="s">
        <v>26</v>
      </c>
      <c r="K12" s="1">
        <v>2023</v>
      </c>
      <c r="L12" s="1">
        <v>2</v>
      </c>
      <c r="M12" s="1" t="s">
        <v>27</v>
      </c>
      <c r="N12" s="1" t="s">
        <v>28</v>
      </c>
      <c r="O12" s="1" t="s">
        <v>29</v>
      </c>
      <c r="P12" s="1" t="s">
        <v>78</v>
      </c>
      <c r="Q12" s="1" t="s">
        <v>83</v>
      </c>
    </row>
    <row r="13" spans="1:17" x14ac:dyDescent="0.25">
      <c r="A13" s="1" t="s">
        <v>44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39</v>
      </c>
      <c r="H13" s="1" t="s">
        <v>45</v>
      </c>
      <c r="I13" s="1" t="s">
        <v>46</v>
      </c>
      <c r="J13" s="1" t="s">
        <v>26</v>
      </c>
      <c r="K13" s="1">
        <v>2023</v>
      </c>
      <c r="L13" s="1">
        <v>2</v>
      </c>
      <c r="M13" s="1" t="s">
        <v>27</v>
      </c>
      <c r="N13" s="1" t="s">
        <v>28</v>
      </c>
      <c r="O13" s="1" t="s">
        <v>29</v>
      </c>
      <c r="P13" s="1" t="s">
        <v>42</v>
      </c>
      <c r="Q13" s="1" t="s">
        <v>84</v>
      </c>
    </row>
    <row r="14" spans="1:17" x14ac:dyDescent="0.25">
      <c r="A14" s="1" t="s">
        <v>85</v>
      </c>
      <c r="B14" s="1" t="s">
        <v>18</v>
      </c>
      <c r="C14" s="1" t="s">
        <v>19</v>
      </c>
      <c r="D14" s="1" t="s">
        <v>20</v>
      </c>
      <c r="E14" s="1" t="s">
        <v>86</v>
      </c>
      <c r="F14" s="1" t="s">
        <v>22</v>
      </c>
      <c r="G14" s="1" t="s">
        <v>61</v>
      </c>
      <c r="H14" s="1" t="s">
        <v>87</v>
      </c>
      <c r="I14" s="1" t="s">
        <v>88</v>
      </c>
      <c r="J14" s="1" t="s">
        <v>26</v>
      </c>
      <c r="K14" s="1">
        <v>2023</v>
      </c>
      <c r="L14" s="1">
        <v>3</v>
      </c>
      <c r="M14" s="1" t="s">
        <v>89</v>
      </c>
      <c r="N14" s="1" t="s">
        <v>28</v>
      </c>
      <c r="O14" s="1" t="s">
        <v>29</v>
      </c>
      <c r="P14" s="1" t="s">
        <v>65</v>
      </c>
      <c r="Q14" s="1" t="s">
        <v>90</v>
      </c>
    </row>
    <row r="15" spans="1:17" x14ac:dyDescent="0.25">
      <c r="A15" s="1" t="s">
        <v>91</v>
      </c>
      <c r="B15" s="1" t="s">
        <v>18</v>
      </c>
      <c r="C15" s="1" t="s">
        <v>19</v>
      </c>
      <c r="D15" s="1" t="s">
        <v>20</v>
      </c>
      <c r="E15" s="1" t="s">
        <v>86</v>
      </c>
      <c r="F15" s="1" t="s">
        <v>22</v>
      </c>
      <c r="G15" s="1" t="s">
        <v>92</v>
      </c>
      <c r="H15" s="1" t="s">
        <v>93</v>
      </c>
      <c r="I15" s="1" t="s">
        <v>94</v>
      </c>
      <c r="J15" s="1" t="s">
        <v>26</v>
      </c>
      <c r="K15" s="1">
        <v>2023</v>
      </c>
      <c r="L15" s="1">
        <v>3</v>
      </c>
      <c r="M15" s="1" t="s">
        <v>89</v>
      </c>
      <c r="N15" s="1" t="s">
        <v>28</v>
      </c>
      <c r="O15" s="1" t="s">
        <v>29</v>
      </c>
      <c r="P15" s="1" t="s">
        <v>95</v>
      </c>
      <c r="Q15" s="1" t="s">
        <v>96</v>
      </c>
    </row>
    <row r="16" spans="1:17" x14ac:dyDescent="0.25">
      <c r="A16" s="1" t="s">
        <v>97</v>
      </c>
      <c r="B16" s="1" t="s">
        <v>18</v>
      </c>
      <c r="C16" s="1" t="s">
        <v>19</v>
      </c>
      <c r="D16" s="1" t="s">
        <v>20</v>
      </c>
      <c r="E16" s="1" t="s">
        <v>86</v>
      </c>
      <c r="F16" s="1" t="s">
        <v>22</v>
      </c>
      <c r="G16" s="1" t="s">
        <v>98</v>
      </c>
      <c r="H16" s="1" t="s">
        <v>99</v>
      </c>
      <c r="I16" s="1" t="s">
        <v>100</v>
      </c>
      <c r="J16" s="1" t="s">
        <v>26</v>
      </c>
      <c r="K16" s="1">
        <v>2023</v>
      </c>
      <c r="L16" s="1">
        <v>3</v>
      </c>
      <c r="M16" s="1" t="s">
        <v>89</v>
      </c>
      <c r="N16" s="1" t="s">
        <v>28</v>
      </c>
      <c r="O16" s="1" t="s">
        <v>29</v>
      </c>
      <c r="P16" s="1" t="s">
        <v>101</v>
      </c>
      <c r="Q16" s="1" t="s">
        <v>102</v>
      </c>
    </row>
    <row r="17" spans="1:17" x14ac:dyDescent="0.25">
      <c r="A17" s="1" t="s">
        <v>103</v>
      </c>
      <c r="B17" s="1" t="s">
        <v>18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104</v>
      </c>
      <c r="H17" s="1" t="s">
        <v>105</v>
      </c>
      <c r="I17" s="1" t="s">
        <v>106</v>
      </c>
      <c r="J17" s="1" t="s">
        <v>26</v>
      </c>
      <c r="K17" s="1">
        <v>2023</v>
      </c>
      <c r="L17" s="1">
        <v>3</v>
      </c>
      <c r="M17" s="1" t="s">
        <v>27</v>
      </c>
      <c r="N17" s="1" t="s">
        <v>28</v>
      </c>
      <c r="O17" s="1" t="s">
        <v>29</v>
      </c>
      <c r="P17" s="1" t="s">
        <v>107</v>
      </c>
      <c r="Q17" s="1" t="s">
        <v>108</v>
      </c>
    </row>
    <row r="18" spans="1:17" x14ac:dyDescent="0.25">
      <c r="A18" s="1" t="s">
        <v>109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 t="s">
        <v>110</v>
      </c>
      <c r="H18" s="2" t="s">
        <v>111</v>
      </c>
      <c r="I18" s="2" t="s">
        <v>112</v>
      </c>
      <c r="J18" s="1" t="s">
        <v>26</v>
      </c>
      <c r="K18" s="1">
        <v>2023</v>
      </c>
      <c r="L18" s="1">
        <v>3</v>
      </c>
      <c r="M18" s="1" t="s">
        <v>27</v>
      </c>
      <c r="N18" s="1" t="s">
        <v>28</v>
      </c>
      <c r="O18" s="1" t="s">
        <v>29</v>
      </c>
      <c r="P18" s="1" t="s">
        <v>113</v>
      </c>
      <c r="Q18" s="2" t="s">
        <v>114</v>
      </c>
    </row>
    <row r="19" spans="1:17" x14ac:dyDescent="0.25">
      <c r="A19" s="1" t="s">
        <v>115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116</v>
      </c>
      <c r="H19" s="1" t="s">
        <v>117</v>
      </c>
      <c r="I19" s="1" t="s">
        <v>118</v>
      </c>
      <c r="J19" s="1" t="s">
        <v>26</v>
      </c>
      <c r="K19" s="1">
        <v>2023</v>
      </c>
      <c r="L19" s="1">
        <v>3</v>
      </c>
      <c r="M19" s="1" t="s">
        <v>27</v>
      </c>
      <c r="N19" s="1" t="s">
        <v>28</v>
      </c>
      <c r="O19" s="1" t="s">
        <v>29</v>
      </c>
      <c r="P19" s="1" t="s">
        <v>119</v>
      </c>
      <c r="Q19" s="1" t="s">
        <v>120</v>
      </c>
    </row>
    <row r="20" spans="1:17" x14ac:dyDescent="0.25">
      <c r="A20" s="1" t="s">
        <v>85</v>
      </c>
      <c r="B20" s="1" t="s">
        <v>18</v>
      </c>
      <c r="C20" s="1" t="s">
        <v>19</v>
      </c>
      <c r="D20" s="1" t="s">
        <v>20</v>
      </c>
      <c r="E20" s="1" t="s">
        <v>86</v>
      </c>
      <c r="F20" s="1" t="s">
        <v>22</v>
      </c>
      <c r="G20" s="1" t="s">
        <v>61</v>
      </c>
      <c r="H20" s="1" t="s">
        <v>87</v>
      </c>
      <c r="I20" s="1" t="s">
        <v>88</v>
      </c>
      <c r="J20" s="1" t="s">
        <v>26</v>
      </c>
      <c r="K20" s="1">
        <v>2023</v>
      </c>
      <c r="L20" s="1">
        <v>4</v>
      </c>
      <c r="M20" s="1" t="s">
        <v>89</v>
      </c>
      <c r="N20" s="1" t="s">
        <v>28</v>
      </c>
      <c r="O20" s="1" t="s">
        <v>29</v>
      </c>
      <c r="P20" s="1" t="s">
        <v>65</v>
      </c>
      <c r="Q20" s="1" t="s">
        <v>121</v>
      </c>
    </row>
    <row r="21" spans="1:17" ht="15.75" customHeight="1" x14ac:dyDescent="0.25">
      <c r="A21" s="1" t="s">
        <v>122</v>
      </c>
      <c r="B21" s="1" t="s">
        <v>18</v>
      </c>
      <c r="C21" s="1" t="s">
        <v>19</v>
      </c>
      <c r="D21" s="1" t="s">
        <v>123</v>
      </c>
      <c r="E21" s="1" t="s">
        <v>124</v>
      </c>
      <c r="F21" s="1" t="s">
        <v>125</v>
      </c>
      <c r="G21" s="1" t="s">
        <v>126</v>
      </c>
      <c r="H21" s="1" t="s">
        <v>127</v>
      </c>
      <c r="I21" s="1" t="s">
        <v>128</v>
      </c>
      <c r="J21" s="1" t="s">
        <v>129</v>
      </c>
      <c r="K21" s="1">
        <v>2023</v>
      </c>
      <c r="L21" s="1">
        <v>9</v>
      </c>
      <c r="M21" s="1" t="s">
        <v>130</v>
      </c>
      <c r="N21" s="1" t="s">
        <v>28</v>
      </c>
      <c r="O21" s="1" t="s">
        <v>131</v>
      </c>
      <c r="P21" s="1" t="s">
        <v>132</v>
      </c>
      <c r="Q21" s="1" t="s">
        <v>133</v>
      </c>
    </row>
    <row r="22" spans="1:17" ht="15.75" customHeight="1" x14ac:dyDescent="0.25">
      <c r="A22" s="1" t="s">
        <v>134</v>
      </c>
      <c r="B22" s="1" t="s">
        <v>18</v>
      </c>
      <c r="C22" s="1" t="s">
        <v>19</v>
      </c>
      <c r="D22" s="1" t="s">
        <v>123</v>
      </c>
      <c r="E22" s="1" t="s">
        <v>124</v>
      </c>
      <c r="F22" s="1" t="s">
        <v>125</v>
      </c>
      <c r="G22" s="1" t="s">
        <v>135</v>
      </c>
      <c r="H22" s="1" t="s">
        <v>136</v>
      </c>
      <c r="I22" s="1" t="s">
        <v>137</v>
      </c>
      <c r="J22" s="1" t="s">
        <v>129</v>
      </c>
      <c r="K22" s="1">
        <v>2025</v>
      </c>
      <c r="L22" s="1">
        <v>11</v>
      </c>
      <c r="M22" s="1" t="s">
        <v>130</v>
      </c>
      <c r="N22" s="1" t="s">
        <v>28</v>
      </c>
      <c r="O22" s="1" t="s">
        <v>131</v>
      </c>
      <c r="P22" s="1" t="s">
        <v>138</v>
      </c>
      <c r="Q22" s="1" t="s">
        <v>139</v>
      </c>
    </row>
    <row r="23" spans="1:17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33</v>
      </c>
      <c r="H23" s="1" t="s">
        <v>34</v>
      </c>
      <c r="I23" s="1" t="s">
        <v>35</v>
      </c>
      <c r="J23" s="1" t="s">
        <v>26</v>
      </c>
      <c r="K23" s="1">
        <v>2023</v>
      </c>
      <c r="L23" s="1">
        <v>4</v>
      </c>
      <c r="M23" s="1" t="s">
        <v>27</v>
      </c>
      <c r="N23" s="1" t="s">
        <v>28</v>
      </c>
      <c r="O23" s="1" t="s">
        <v>29</v>
      </c>
      <c r="P23" s="1" t="s">
        <v>36</v>
      </c>
      <c r="Q23" s="1" t="s">
        <v>140</v>
      </c>
    </row>
    <row r="24" spans="1:17" ht="15.75" customHeight="1" x14ac:dyDescent="0.25">
      <c r="A24" s="1" t="s">
        <v>85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61</v>
      </c>
      <c r="H24" s="1" t="s">
        <v>141</v>
      </c>
      <c r="I24" s="1" t="s">
        <v>142</v>
      </c>
      <c r="J24" s="1" t="s">
        <v>26</v>
      </c>
      <c r="K24" s="1">
        <v>2023</v>
      </c>
      <c r="L24" s="1">
        <v>4</v>
      </c>
      <c r="M24" s="1" t="s">
        <v>27</v>
      </c>
      <c r="N24" s="1" t="s">
        <v>28</v>
      </c>
      <c r="O24" s="1" t="s">
        <v>29</v>
      </c>
      <c r="P24" s="1" t="s">
        <v>65</v>
      </c>
      <c r="Q24" s="1" t="s">
        <v>143</v>
      </c>
    </row>
    <row r="25" spans="1:17" ht="15.75" customHeight="1" x14ac:dyDescent="0.25">
      <c r="A25" s="1" t="s">
        <v>144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22</v>
      </c>
      <c r="G25" s="1" t="s">
        <v>145</v>
      </c>
      <c r="H25" s="1" t="s">
        <v>146</v>
      </c>
      <c r="I25" s="1" t="s">
        <v>147</v>
      </c>
      <c r="J25" s="1" t="s">
        <v>26</v>
      </c>
      <c r="K25" s="1">
        <v>2023</v>
      </c>
      <c r="L25" s="1">
        <v>4</v>
      </c>
      <c r="M25" s="1" t="s">
        <v>27</v>
      </c>
      <c r="N25" s="1" t="s">
        <v>28</v>
      </c>
      <c r="O25" s="1" t="s">
        <v>29</v>
      </c>
      <c r="P25" s="1" t="s">
        <v>148</v>
      </c>
      <c r="Q25" s="1" t="s">
        <v>149</v>
      </c>
    </row>
    <row r="26" spans="1:17" ht="15.75" customHeight="1" x14ac:dyDescent="0.25">
      <c r="A26" s="1" t="s">
        <v>44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22</v>
      </c>
      <c r="G26" s="1" t="s">
        <v>39</v>
      </c>
      <c r="H26" s="1" t="s">
        <v>45</v>
      </c>
      <c r="I26" s="1" t="s">
        <v>46</v>
      </c>
      <c r="J26" s="1" t="s">
        <v>26</v>
      </c>
      <c r="K26" s="1">
        <v>2023</v>
      </c>
      <c r="L26" s="1">
        <v>4</v>
      </c>
      <c r="M26" s="1" t="s">
        <v>27</v>
      </c>
      <c r="N26" s="1" t="s">
        <v>28</v>
      </c>
      <c r="O26" s="1" t="s">
        <v>29</v>
      </c>
      <c r="P26" s="1" t="s">
        <v>42</v>
      </c>
      <c r="Q26" s="1" t="s">
        <v>150</v>
      </c>
    </row>
    <row r="27" spans="1:17" ht="15.75" customHeight="1" x14ac:dyDescent="0.25">
      <c r="A27" s="1" t="s">
        <v>151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152</v>
      </c>
      <c r="H27" s="1" t="s">
        <v>153</v>
      </c>
      <c r="I27" s="1" t="s">
        <v>154</v>
      </c>
      <c r="J27" s="1" t="s">
        <v>26</v>
      </c>
      <c r="K27" s="1">
        <v>2023</v>
      </c>
      <c r="L27" s="1">
        <v>4</v>
      </c>
      <c r="M27" s="1" t="s">
        <v>27</v>
      </c>
      <c r="N27" s="1" t="s">
        <v>28</v>
      </c>
      <c r="O27" s="1" t="s">
        <v>29</v>
      </c>
      <c r="P27" s="1" t="s">
        <v>155</v>
      </c>
      <c r="Q27" s="1" t="s">
        <v>156</v>
      </c>
    </row>
    <row r="28" spans="1:17" ht="15.75" customHeight="1" x14ac:dyDescent="0.25">
      <c r="A28" s="1" t="s">
        <v>157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1" t="s">
        <v>152</v>
      </c>
      <c r="H28" s="1" t="s">
        <v>158</v>
      </c>
      <c r="I28" s="1" t="s">
        <v>159</v>
      </c>
      <c r="J28" s="1" t="s">
        <v>26</v>
      </c>
      <c r="K28" s="1">
        <v>2023</v>
      </c>
      <c r="L28" s="1">
        <v>4</v>
      </c>
      <c r="M28" s="1" t="s">
        <v>27</v>
      </c>
      <c r="N28" s="1" t="s">
        <v>28</v>
      </c>
      <c r="O28" s="1" t="s">
        <v>29</v>
      </c>
      <c r="P28" s="1" t="s">
        <v>155</v>
      </c>
      <c r="Q28" s="1" t="s">
        <v>160</v>
      </c>
    </row>
    <row r="29" spans="1:17" ht="15.75" customHeight="1" x14ac:dyDescent="0.25">
      <c r="A29" s="1" t="s">
        <v>161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49</v>
      </c>
      <c r="H29" s="1" t="s">
        <v>162</v>
      </c>
      <c r="I29" s="1" t="s">
        <v>163</v>
      </c>
      <c r="J29" s="1" t="s">
        <v>26</v>
      </c>
      <c r="K29" s="1">
        <v>2023</v>
      </c>
      <c r="L29" s="1">
        <v>4</v>
      </c>
      <c r="M29" s="1" t="s">
        <v>27</v>
      </c>
      <c r="N29" s="1" t="s">
        <v>28</v>
      </c>
      <c r="O29" s="1" t="s">
        <v>29</v>
      </c>
      <c r="P29" s="1" t="s">
        <v>52</v>
      </c>
      <c r="Q29" s="1" t="s">
        <v>164</v>
      </c>
    </row>
    <row r="30" spans="1:17" ht="15.75" customHeight="1" x14ac:dyDescent="0.25">
      <c r="A30" s="1" t="s">
        <v>48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22</v>
      </c>
      <c r="G30" s="1" t="s">
        <v>49</v>
      </c>
      <c r="H30" s="1" t="s">
        <v>50</v>
      </c>
      <c r="I30" s="1" t="s">
        <v>51</v>
      </c>
      <c r="J30" s="1" t="s">
        <v>26</v>
      </c>
      <c r="K30" s="1">
        <v>2023</v>
      </c>
      <c r="L30" s="1">
        <v>4</v>
      </c>
      <c r="M30" s="1" t="s">
        <v>27</v>
      </c>
      <c r="N30" s="1" t="s">
        <v>28</v>
      </c>
      <c r="O30" s="1" t="s">
        <v>29</v>
      </c>
      <c r="P30" s="1" t="s">
        <v>52</v>
      </c>
      <c r="Q30" s="1" t="s">
        <v>165</v>
      </c>
    </row>
    <row r="31" spans="1:17" ht="15.75" customHeight="1" x14ac:dyDescent="0.25">
      <c r="A31" s="1" t="s">
        <v>166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  <c r="G31" s="1" t="s">
        <v>167</v>
      </c>
      <c r="H31" s="1" t="s">
        <v>168</v>
      </c>
      <c r="I31" s="1" t="s">
        <v>169</v>
      </c>
      <c r="J31" s="1" t="s">
        <v>26</v>
      </c>
      <c r="K31" s="1">
        <v>2023</v>
      </c>
      <c r="L31" s="1">
        <v>4</v>
      </c>
      <c r="M31" s="1" t="s">
        <v>27</v>
      </c>
      <c r="N31" s="1" t="s">
        <v>28</v>
      </c>
      <c r="O31" s="1" t="s">
        <v>29</v>
      </c>
      <c r="P31" s="1" t="s">
        <v>170</v>
      </c>
      <c r="Q31" s="1" t="s">
        <v>171</v>
      </c>
    </row>
    <row r="32" spans="1:17" ht="15.75" customHeight="1" x14ac:dyDescent="0.25">
      <c r="A32" s="1" t="s">
        <v>85</v>
      </c>
      <c r="B32" s="1" t="s">
        <v>18</v>
      </c>
      <c r="C32" s="1" t="s">
        <v>19</v>
      </c>
      <c r="D32" s="1" t="s">
        <v>20</v>
      </c>
      <c r="E32" s="1" t="s">
        <v>86</v>
      </c>
      <c r="F32" s="1" t="s">
        <v>22</v>
      </c>
      <c r="G32" s="1" t="s">
        <v>61</v>
      </c>
      <c r="H32" s="1" t="s">
        <v>87</v>
      </c>
      <c r="I32" s="1" t="s">
        <v>88</v>
      </c>
      <c r="J32" s="1" t="s">
        <v>26</v>
      </c>
      <c r="K32" s="1">
        <v>2023</v>
      </c>
      <c r="L32" s="1">
        <v>5</v>
      </c>
      <c r="M32" s="1" t="s">
        <v>89</v>
      </c>
      <c r="N32" s="1" t="s">
        <v>28</v>
      </c>
      <c r="O32" s="1" t="s">
        <v>29</v>
      </c>
      <c r="P32" s="1" t="s">
        <v>65</v>
      </c>
      <c r="Q32" s="1" t="s">
        <v>172</v>
      </c>
    </row>
    <row r="33" spans="1:17" ht="15.75" customHeight="1" x14ac:dyDescent="0.25">
      <c r="A33" s="1" t="s">
        <v>173</v>
      </c>
      <c r="B33" s="1" t="s">
        <v>18</v>
      </c>
      <c r="C33" s="1" t="s">
        <v>19</v>
      </c>
      <c r="D33" s="1" t="s">
        <v>20</v>
      </c>
      <c r="E33" s="1" t="s">
        <v>86</v>
      </c>
      <c r="F33" s="1" t="s">
        <v>22</v>
      </c>
      <c r="G33" s="1" t="s">
        <v>174</v>
      </c>
      <c r="H33" s="1" t="s">
        <v>175</v>
      </c>
      <c r="I33" s="1" t="s">
        <v>176</v>
      </c>
      <c r="J33" s="1" t="s">
        <v>26</v>
      </c>
      <c r="K33" s="1">
        <v>2023</v>
      </c>
      <c r="L33" s="1">
        <v>5</v>
      </c>
      <c r="M33" s="1" t="s">
        <v>89</v>
      </c>
      <c r="N33" s="1" t="s">
        <v>28</v>
      </c>
      <c r="O33" s="1" t="s">
        <v>29</v>
      </c>
      <c r="P33" s="1" t="s">
        <v>177</v>
      </c>
      <c r="Q33" s="1" t="s">
        <v>178</v>
      </c>
    </row>
    <row r="34" spans="1:17" ht="15.75" customHeight="1" x14ac:dyDescent="0.25">
      <c r="A34" s="1" t="s">
        <v>179</v>
      </c>
      <c r="B34" s="1" t="s">
        <v>18</v>
      </c>
      <c r="C34" s="1" t="s">
        <v>19</v>
      </c>
      <c r="D34" s="1" t="s">
        <v>20</v>
      </c>
      <c r="E34" s="1" t="s">
        <v>86</v>
      </c>
      <c r="F34" s="1" t="s">
        <v>22</v>
      </c>
      <c r="G34" s="1" t="s">
        <v>180</v>
      </c>
      <c r="H34" s="1" t="s">
        <v>181</v>
      </c>
      <c r="I34" s="1" t="s">
        <v>182</v>
      </c>
      <c r="J34" s="1" t="s">
        <v>26</v>
      </c>
      <c r="K34" s="1">
        <v>2023</v>
      </c>
      <c r="L34" s="1">
        <v>5</v>
      </c>
      <c r="M34" s="1" t="s">
        <v>89</v>
      </c>
      <c r="N34" s="1" t="s">
        <v>28</v>
      </c>
      <c r="O34" s="1" t="s">
        <v>29</v>
      </c>
      <c r="P34" s="1" t="s">
        <v>183</v>
      </c>
      <c r="Q34" s="1" t="s">
        <v>184</v>
      </c>
    </row>
    <row r="35" spans="1:17" ht="15.75" customHeight="1" x14ac:dyDescent="0.25">
      <c r="A35" s="1" t="s">
        <v>185</v>
      </c>
      <c r="B35" s="1" t="s">
        <v>18</v>
      </c>
      <c r="C35" s="1" t="s">
        <v>19</v>
      </c>
      <c r="D35" s="1" t="s">
        <v>20</v>
      </c>
      <c r="E35" s="1" t="s">
        <v>86</v>
      </c>
      <c r="F35" s="1" t="s">
        <v>22</v>
      </c>
      <c r="G35" s="1" t="s">
        <v>186</v>
      </c>
      <c r="H35" s="1" t="s">
        <v>187</v>
      </c>
      <c r="I35" s="1" t="s">
        <v>188</v>
      </c>
      <c r="J35" s="1" t="s">
        <v>189</v>
      </c>
      <c r="K35" s="1">
        <v>2023</v>
      </c>
      <c r="L35" s="1">
        <v>5</v>
      </c>
      <c r="M35" s="1" t="s">
        <v>89</v>
      </c>
      <c r="N35" s="1" t="s">
        <v>28</v>
      </c>
      <c r="O35" s="1" t="s">
        <v>29</v>
      </c>
      <c r="P35" s="1" t="s">
        <v>190</v>
      </c>
      <c r="Q35" s="1" t="s">
        <v>191</v>
      </c>
    </row>
    <row r="36" spans="1:17" ht="15.75" customHeight="1" x14ac:dyDescent="0.25">
      <c r="A36" s="1" t="s">
        <v>192</v>
      </c>
      <c r="B36" s="1" t="s">
        <v>18</v>
      </c>
      <c r="C36" s="1" t="s">
        <v>19</v>
      </c>
      <c r="D36" s="1" t="s">
        <v>20</v>
      </c>
      <c r="E36" s="1" t="s">
        <v>21</v>
      </c>
      <c r="F36" s="1" t="s">
        <v>22</v>
      </c>
      <c r="G36" s="1" t="s">
        <v>152</v>
      </c>
      <c r="H36" s="1" t="s">
        <v>193</v>
      </c>
      <c r="I36" s="1" t="s">
        <v>194</v>
      </c>
      <c r="J36" s="1" t="s">
        <v>64</v>
      </c>
      <c r="K36" s="1">
        <v>2023</v>
      </c>
      <c r="L36" s="1">
        <v>5</v>
      </c>
      <c r="M36" s="1" t="s">
        <v>27</v>
      </c>
      <c r="N36" s="1" t="s">
        <v>28</v>
      </c>
      <c r="O36" s="1" t="s">
        <v>29</v>
      </c>
      <c r="P36" s="1" t="s">
        <v>155</v>
      </c>
      <c r="Q36" s="1" t="s">
        <v>195</v>
      </c>
    </row>
    <row r="37" spans="1:17" ht="15.75" customHeight="1" x14ac:dyDescent="0.25">
      <c r="A37" s="1" t="s">
        <v>196</v>
      </c>
      <c r="B37" s="1" t="s">
        <v>18</v>
      </c>
      <c r="C37" s="1" t="s">
        <v>19</v>
      </c>
      <c r="D37" s="1" t="s">
        <v>20</v>
      </c>
      <c r="E37" s="1" t="s">
        <v>21</v>
      </c>
      <c r="F37" s="1" t="s">
        <v>22</v>
      </c>
      <c r="G37" s="1" t="s">
        <v>23</v>
      </c>
      <c r="H37" s="1" t="s">
        <v>197</v>
      </c>
      <c r="I37" s="1" t="s">
        <v>198</v>
      </c>
      <c r="J37" s="1" t="s">
        <v>26</v>
      </c>
      <c r="K37" s="1">
        <v>2023</v>
      </c>
      <c r="L37" s="1">
        <v>5</v>
      </c>
      <c r="M37" s="1" t="s">
        <v>27</v>
      </c>
      <c r="N37" s="1" t="s">
        <v>28</v>
      </c>
      <c r="O37" s="1" t="s">
        <v>29</v>
      </c>
      <c r="P37" s="1" t="s">
        <v>30</v>
      </c>
      <c r="Q37" s="1" t="s">
        <v>199</v>
      </c>
    </row>
    <row r="38" spans="1:17" ht="15.75" customHeight="1" x14ac:dyDescent="0.25">
      <c r="A38" s="1" t="s">
        <v>200</v>
      </c>
      <c r="B38" s="1" t="s">
        <v>18</v>
      </c>
      <c r="C38" s="1" t="s">
        <v>19</v>
      </c>
      <c r="D38" s="1" t="s">
        <v>20</v>
      </c>
      <c r="E38" s="1" t="s">
        <v>21</v>
      </c>
      <c r="F38" s="1" t="s">
        <v>22</v>
      </c>
      <c r="G38" s="1" t="s">
        <v>201</v>
      </c>
      <c r="H38" s="1" t="s">
        <v>202</v>
      </c>
      <c r="I38" s="1" t="s">
        <v>203</v>
      </c>
      <c r="J38" s="1" t="s">
        <v>26</v>
      </c>
      <c r="K38" s="1">
        <v>2023</v>
      </c>
      <c r="L38" s="1">
        <v>5</v>
      </c>
      <c r="M38" s="1" t="s">
        <v>27</v>
      </c>
      <c r="N38" s="1" t="s">
        <v>28</v>
      </c>
      <c r="O38" s="1" t="s">
        <v>29</v>
      </c>
      <c r="P38" s="1" t="s">
        <v>204</v>
      </c>
      <c r="Q38" s="1" t="s">
        <v>205</v>
      </c>
    </row>
    <row r="39" spans="1:17" ht="15.75" customHeight="1" x14ac:dyDescent="0.25">
      <c r="A39" s="1" t="s">
        <v>85</v>
      </c>
      <c r="B39" s="1" t="s">
        <v>18</v>
      </c>
      <c r="C39" s="1" t="s">
        <v>19</v>
      </c>
      <c r="D39" s="1" t="s">
        <v>20</v>
      </c>
      <c r="E39" s="1" t="s">
        <v>21</v>
      </c>
      <c r="F39" s="1" t="s">
        <v>22</v>
      </c>
      <c r="G39" s="1" t="s">
        <v>61</v>
      </c>
      <c r="H39" s="1" t="s">
        <v>62</v>
      </c>
      <c r="I39" s="1" t="s">
        <v>63</v>
      </c>
      <c r="J39" s="1" t="s">
        <v>26</v>
      </c>
      <c r="K39" s="1">
        <v>2023</v>
      </c>
      <c r="L39" s="1">
        <v>5</v>
      </c>
      <c r="M39" s="1" t="s">
        <v>27</v>
      </c>
      <c r="N39" s="1" t="s">
        <v>28</v>
      </c>
      <c r="O39" s="1" t="s">
        <v>29</v>
      </c>
      <c r="P39" s="1" t="s">
        <v>65</v>
      </c>
      <c r="Q39" s="1" t="s">
        <v>206</v>
      </c>
    </row>
    <row r="40" spans="1:17" ht="15.75" customHeight="1" x14ac:dyDescent="0.25">
      <c r="A40" s="1" t="s">
        <v>67</v>
      </c>
      <c r="B40" s="1" t="s">
        <v>18</v>
      </c>
      <c r="C40" s="1" t="s">
        <v>19</v>
      </c>
      <c r="D40" s="1" t="s">
        <v>20</v>
      </c>
      <c r="E40" s="1" t="s">
        <v>21</v>
      </c>
      <c r="F40" s="1" t="s">
        <v>22</v>
      </c>
      <c r="G40" s="1" t="s">
        <v>207</v>
      </c>
      <c r="H40" s="1" t="s">
        <v>208</v>
      </c>
      <c r="I40" s="1" t="s">
        <v>209</v>
      </c>
      <c r="J40" s="1" t="s">
        <v>26</v>
      </c>
      <c r="K40" s="1">
        <v>2023</v>
      </c>
      <c r="L40" s="1">
        <v>5</v>
      </c>
      <c r="M40" s="1" t="s">
        <v>27</v>
      </c>
      <c r="N40" s="1" t="s">
        <v>28</v>
      </c>
      <c r="O40" s="1" t="s">
        <v>29</v>
      </c>
      <c r="P40" s="1" t="s">
        <v>210</v>
      </c>
      <c r="Q40" s="1" t="s">
        <v>211</v>
      </c>
    </row>
    <row r="41" spans="1:17" ht="15.75" customHeight="1" x14ac:dyDescent="0.25">
      <c r="A41" s="1" t="s">
        <v>212</v>
      </c>
      <c r="B41" s="1" t="s">
        <v>18</v>
      </c>
      <c r="C41" s="1" t="s">
        <v>19</v>
      </c>
      <c r="D41" s="1" t="s">
        <v>20</v>
      </c>
      <c r="E41" s="1" t="s">
        <v>21</v>
      </c>
      <c r="F41" s="1" t="s">
        <v>22</v>
      </c>
      <c r="G41" s="1" t="s">
        <v>39</v>
      </c>
      <c r="H41" s="1" t="s">
        <v>213</v>
      </c>
      <c r="I41" s="1" t="s">
        <v>214</v>
      </c>
      <c r="J41" s="1" t="s">
        <v>26</v>
      </c>
      <c r="K41" s="1">
        <v>2023</v>
      </c>
      <c r="L41" s="1">
        <v>5</v>
      </c>
      <c r="M41" s="1" t="s">
        <v>27</v>
      </c>
      <c r="N41" s="1" t="s">
        <v>28</v>
      </c>
      <c r="O41" s="1" t="s">
        <v>29</v>
      </c>
      <c r="P41" s="1" t="s">
        <v>42</v>
      </c>
      <c r="Q41" s="1" t="s">
        <v>215</v>
      </c>
    </row>
    <row r="42" spans="1:17" ht="15.75" customHeight="1" x14ac:dyDescent="0.25">
      <c r="A42" s="1" t="s">
        <v>216</v>
      </c>
      <c r="B42" s="1" t="s">
        <v>18</v>
      </c>
      <c r="C42" s="1" t="s">
        <v>19</v>
      </c>
      <c r="D42" s="1" t="s">
        <v>20</v>
      </c>
      <c r="E42" s="1" t="s">
        <v>21</v>
      </c>
      <c r="F42" s="1" t="s">
        <v>22</v>
      </c>
      <c r="G42" s="1" t="s">
        <v>217</v>
      </c>
      <c r="H42" s="1" t="s">
        <v>218</v>
      </c>
      <c r="I42" s="1" t="s">
        <v>219</v>
      </c>
      <c r="J42" s="1" t="s">
        <v>26</v>
      </c>
      <c r="K42" s="1">
        <v>2023</v>
      </c>
      <c r="L42" s="1">
        <v>5</v>
      </c>
      <c r="M42" s="1" t="s">
        <v>27</v>
      </c>
      <c r="N42" s="1" t="s">
        <v>28</v>
      </c>
      <c r="O42" s="1" t="s">
        <v>29</v>
      </c>
      <c r="P42" s="1" t="s">
        <v>220</v>
      </c>
      <c r="Q42" s="1" t="s">
        <v>221</v>
      </c>
    </row>
    <row r="43" spans="1:17" ht="15.75" customHeight="1" x14ac:dyDescent="0.25">
      <c r="A43" s="1" t="s">
        <v>222</v>
      </c>
      <c r="B43" s="1" t="s">
        <v>18</v>
      </c>
      <c r="C43" s="1" t="s">
        <v>19</v>
      </c>
      <c r="D43" s="1" t="s">
        <v>20</v>
      </c>
      <c r="E43" s="1" t="s">
        <v>86</v>
      </c>
      <c r="F43" s="1" t="s">
        <v>22</v>
      </c>
      <c r="G43" s="1" t="s">
        <v>223</v>
      </c>
      <c r="H43" s="1" t="s">
        <v>224</v>
      </c>
      <c r="I43" s="1" t="s">
        <v>225</v>
      </c>
      <c r="J43" s="1" t="s">
        <v>26</v>
      </c>
      <c r="K43" s="1">
        <v>2023</v>
      </c>
      <c r="L43" s="1">
        <v>6</v>
      </c>
      <c r="M43" s="1" t="s">
        <v>89</v>
      </c>
      <c r="N43" s="1" t="s">
        <v>28</v>
      </c>
      <c r="O43" s="1" t="s">
        <v>29</v>
      </c>
      <c r="P43" s="1" t="s">
        <v>226</v>
      </c>
      <c r="Q43" s="1" t="s">
        <v>227</v>
      </c>
    </row>
    <row r="44" spans="1:17" ht="15.75" customHeight="1" x14ac:dyDescent="0.25">
      <c r="A44" s="1" t="s">
        <v>228</v>
      </c>
      <c r="B44" s="1" t="s">
        <v>18</v>
      </c>
      <c r="C44" s="1" t="s">
        <v>19</v>
      </c>
      <c r="D44" s="1" t="s">
        <v>20</v>
      </c>
      <c r="E44" s="1" t="s">
        <v>86</v>
      </c>
      <c r="F44" s="1" t="s">
        <v>22</v>
      </c>
      <c r="G44" s="1" t="s">
        <v>223</v>
      </c>
      <c r="H44" s="1" t="s">
        <v>229</v>
      </c>
      <c r="I44" s="1" t="s">
        <v>230</v>
      </c>
      <c r="J44" s="1" t="s">
        <v>26</v>
      </c>
      <c r="K44" s="1">
        <v>2023</v>
      </c>
      <c r="L44" s="1">
        <v>6</v>
      </c>
      <c r="M44" s="1" t="s">
        <v>89</v>
      </c>
      <c r="N44" s="1" t="s">
        <v>28</v>
      </c>
      <c r="O44" s="1" t="s">
        <v>29</v>
      </c>
      <c r="P44" s="1" t="s">
        <v>226</v>
      </c>
      <c r="Q44" s="1" t="s">
        <v>231</v>
      </c>
    </row>
    <row r="45" spans="1:17" ht="15.75" customHeight="1" x14ac:dyDescent="0.25">
      <c r="A45" s="1" t="s">
        <v>179</v>
      </c>
      <c r="B45" s="1" t="s">
        <v>18</v>
      </c>
      <c r="C45" s="1" t="s">
        <v>19</v>
      </c>
      <c r="D45" s="1" t="s">
        <v>20</v>
      </c>
      <c r="E45" s="1" t="s">
        <v>86</v>
      </c>
      <c r="F45" s="1" t="s">
        <v>22</v>
      </c>
      <c r="G45" s="1" t="s">
        <v>180</v>
      </c>
      <c r="H45" s="1" t="s">
        <v>181</v>
      </c>
      <c r="I45" s="1" t="s">
        <v>182</v>
      </c>
      <c r="J45" s="1" t="s">
        <v>26</v>
      </c>
      <c r="K45" s="1">
        <v>2023</v>
      </c>
      <c r="L45" s="1">
        <v>6</v>
      </c>
      <c r="M45" s="1" t="s">
        <v>89</v>
      </c>
      <c r="N45" s="1" t="s">
        <v>28</v>
      </c>
      <c r="O45" s="1" t="s">
        <v>29</v>
      </c>
      <c r="P45" s="1" t="s">
        <v>183</v>
      </c>
      <c r="Q45" s="1" t="s">
        <v>232</v>
      </c>
    </row>
    <row r="46" spans="1:17" ht="15.75" customHeight="1" x14ac:dyDescent="0.25">
      <c r="A46" s="1" t="s">
        <v>85</v>
      </c>
      <c r="B46" s="1" t="s">
        <v>18</v>
      </c>
      <c r="C46" s="1" t="s">
        <v>19</v>
      </c>
      <c r="D46" s="1" t="s">
        <v>20</v>
      </c>
      <c r="E46" s="1" t="s">
        <v>21</v>
      </c>
      <c r="F46" s="1" t="s">
        <v>22</v>
      </c>
      <c r="G46" s="1" t="s">
        <v>61</v>
      </c>
      <c r="H46" s="1" t="s">
        <v>141</v>
      </c>
      <c r="I46" s="1" t="s">
        <v>142</v>
      </c>
      <c r="J46" s="1" t="s">
        <v>26</v>
      </c>
      <c r="K46" s="1">
        <v>2023</v>
      </c>
      <c r="L46" s="1">
        <v>6</v>
      </c>
      <c r="M46" s="1" t="s">
        <v>27</v>
      </c>
      <c r="N46" s="1" t="s">
        <v>28</v>
      </c>
      <c r="O46" s="1" t="s">
        <v>29</v>
      </c>
      <c r="P46" s="1" t="s">
        <v>65</v>
      </c>
      <c r="Q46" s="1" t="s">
        <v>233</v>
      </c>
    </row>
    <row r="47" spans="1:17" ht="15.75" customHeight="1" x14ac:dyDescent="0.25">
      <c r="A47" s="1" t="s">
        <v>144</v>
      </c>
      <c r="B47" s="1" t="s">
        <v>18</v>
      </c>
      <c r="C47" s="1" t="s">
        <v>19</v>
      </c>
      <c r="D47" s="1" t="s">
        <v>20</v>
      </c>
      <c r="E47" s="1" t="s">
        <v>21</v>
      </c>
      <c r="F47" s="1" t="s">
        <v>22</v>
      </c>
      <c r="G47" s="1" t="s">
        <v>145</v>
      </c>
      <c r="H47" s="1" t="s">
        <v>146</v>
      </c>
      <c r="I47" s="1" t="s">
        <v>147</v>
      </c>
      <c r="J47" s="1" t="s">
        <v>26</v>
      </c>
      <c r="K47" s="1">
        <v>2023</v>
      </c>
      <c r="L47" s="1">
        <v>6</v>
      </c>
      <c r="M47" s="1" t="s">
        <v>27</v>
      </c>
      <c r="N47" s="1" t="s">
        <v>28</v>
      </c>
      <c r="O47" s="1" t="s">
        <v>29</v>
      </c>
      <c r="P47" s="1" t="s">
        <v>148</v>
      </c>
      <c r="Q47" s="1" t="s">
        <v>234</v>
      </c>
    </row>
    <row r="48" spans="1:17" ht="15.75" customHeight="1" x14ac:dyDescent="0.25">
      <c r="A48" s="1" t="s">
        <v>235</v>
      </c>
      <c r="B48" s="1" t="s">
        <v>18</v>
      </c>
      <c r="C48" s="1" t="s">
        <v>19</v>
      </c>
      <c r="D48" s="1" t="s">
        <v>20</v>
      </c>
      <c r="E48" s="1" t="s">
        <v>21</v>
      </c>
      <c r="F48" s="1" t="s">
        <v>22</v>
      </c>
      <c r="G48" s="1" t="s">
        <v>75</v>
      </c>
      <c r="H48" s="1" t="s">
        <v>236</v>
      </c>
      <c r="I48" s="1" t="s">
        <v>237</v>
      </c>
      <c r="J48" s="1" t="s">
        <v>26</v>
      </c>
      <c r="K48" s="1">
        <v>2023</v>
      </c>
      <c r="L48" s="1">
        <v>6</v>
      </c>
      <c r="M48" s="1" t="s">
        <v>27</v>
      </c>
      <c r="N48" s="1" t="s">
        <v>28</v>
      </c>
      <c r="O48" s="1" t="s">
        <v>29</v>
      </c>
      <c r="P48" s="1" t="s">
        <v>78</v>
      </c>
      <c r="Q48" s="1" t="s">
        <v>238</v>
      </c>
    </row>
    <row r="49" spans="1:17" ht="15.75" customHeight="1" x14ac:dyDescent="0.25">
      <c r="A49" s="1" t="s">
        <v>67</v>
      </c>
      <c r="B49" s="1" t="s">
        <v>18</v>
      </c>
      <c r="C49" s="1" t="s">
        <v>19</v>
      </c>
      <c r="D49" s="1" t="s">
        <v>20</v>
      </c>
      <c r="E49" s="1" t="s">
        <v>21</v>
      </c>
      <c r="F49" s="1" t="s">
        <v>22</v>
      </c>
      <c r="G49" s="1" t="s">
        <v>239</v>
      </c>
      <c r="H49" s="1" t="s">
        <v>240</v>
      </c>
      <c r="I49" s="1" t="s">
        <v>241</v>
      </c>
      <c r="J49" s="1" t="s">
        <v>26</v>
      </c>
      <c r="K49" s="1">
        <v>2023</v>
      </c>
      <c r="L49" s="1">
        <v>6</v>
      </c>
      <c r="M49" s="1" t="s">
        <v>27</v>
      </c>
      <c r="N49" s="1" t="s">
        <v>28</v>
      </c>
      <c r="O49" s="1" t="s">
        <v>29</v>
      </c>
      <c r="P49" s="1" t="s">
        <v>242</v>
      </c>
      <c r="Q49" s="1" t="s">
        <v>243</v>
      </c>
    </row>
    <row r="50" spans="1:17" ht="15.75" customHeight="1" x14ac:dyDescent="0.25">
      <c r="A50" s="1" t="s">
        <v>212</v>
      </c>
      <c r="B50" s="1" t="s">
        <v>18</v>
      </c>
      <c r="C50" s="1" t="s">
        <v>19</v>
      </c>
      <c r="D50" s="1" t="s">
        <v>20</v>
      </c>
      <c r="E50" s="1" t="s">
        <v>21</v>
      </c>
      <c r="F50" s="1" t="s">
        <v>22</v>
      </c>
      <c r="G50" s="1" t="s">
        <v>39</v>
      </c>
      <c r="H50" s="1" t="s">
        <v>213</v>
      </c>
      <c r="I50" s="1" t="s">
        <v>214</v>
      </c>
      <c r="J50" s="1" t="s">
        <v>26</v>
      </c>
      <c r="K50" s="1">
        <v>2023</v>
      </c>
      <c r="L50" s="1">
        <v>6</v>
      </c>
      <c r="M50" s="1" t="s">
        <v>27</v>
      </c>
      <c r="N50" s="1" t="s">
        <v>28</v>
      </c>
      <c r="O50" s="1" t="s">
        <v>29</v>
      </c>
      <c r="P50" s="1" t="s">
        <v>42</v>
      </c>
      <c r="Q50" s="1" t="s">
        <v>244</v>
      </c>
    </row>
    <row r="51" spans="1:17" ht="15.75" customHeight="1" x14ac:dyDescent="0.25">
      <c r="A51" s="1" t="s">
        <v>151</v>
      </c>
      <c r="B51" s="1" t="s">
        <v>18</v>
      </c>
      <c r="C51" s="1" t="s">
        <v>19</v>
      </c>
      <c r="D51" s="1" t="s">
        <v>20</v>
      </c>
      <c r="E51" s="1" t="s">
        <v>21</v>
      </c>
      <c r="F51" s="1" t="s">
        <v>22</v>
      </c>
      <c r="G51" s="1" t="s">
        <v>152</v>
      </c>
      <c r="H51" s="1" t="s">
        <v>153</v>
      </c>
      <c r="I51" s="1" t="s">
        <v>154</v>
      </c>
      <c r="J51" s="1" t="s">
        <v>26</v>
      </c>
      <c r="K51" s="1">
        <v>2023</v>
      </c>
      <c r="L51" s="1">
        <v>6</v>
      </c>
      <c r="M51" s="1" t="s">
        <v>27</v>
      </c>
      <c r="N51" s="1" t="s">
        <v>28</v>
      </c>
      <c r="O51" s="1" t="s">
        <v>29</v>
      </c>
      <c r="P51" s="1" t="s">
        <v>155</v>
      </c>
      <c r="Q51" s="1" t="s">
        <v>245</v>
      </c>
    </row>
    <row r="52" spans="1:17" ht="15.75" customHeight="1" x14ac:dyDescent="0.25">
      <c r="A52" s="1" t="s">
        <v>246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22</v>
      </c>
      <c r="G52" s="1" t="s">
        <v>152</v>
      </c>
      <c r="H52" s="1" t="s">
        <v>247</v>
      </c>
      <c r="I52" s="1" t="s">
        <v>248</v>
      </c>
      <c r="J52" s="1" t="s">
        <v>26</v>
      </c>
      <c r="K52" s="1">
        <v>2023</v>
      </c>
      <c r="L52" s="1">
        <v>6</v>
      </c>
      <c r="M52" s="1" t="s">
        <v>27</v>
      </c>
      <c r="N52" s="1" t="s">
        <v>28</v>
      </c>
      <c r="O52" s="1" t="s">
        <v>29</v>
      </c>
      <c r="P52" s="1" t="s">
        <v>155</v>
      </c>
      <c r="Q52" s="1" t="s">
        <v>249</v>
      </c>
    </row>
    <row r="53" spans="1:17" ht="15.75" customHeight="1" x14ac:dyDescent="0.25">
      <c r="A53" s="1" t="s">
        <v>109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22</v>
      </c>
      <c r="G53" s="1" t="s">
        <v>110</v>
      </c>
      <c r="H53" s="2" t="s">
        <v>111</v>
      </c>
      <c r="I53" s="2" t="s">
        <v>112</v>
      </c>
      <c r="J53" s="1" t="s">
        <v>26</v>
      </c>
      <c r="K53" s="1">
        <v>2023</v>
      </c>
      <c r="L53" s="1">
        <v>6</v>
      </c>
      <c r="M53" s="1" t="s">
        <v>27</v>
      </c>
      <c r="N53" s="1" t="s">
        <v>28</v>
      </c>
      <c r="O53" s="1" t="s">
        <v>29</v>
      </c>
      <c r="P53" s="1" t="s">
        <v>113</v>
      </c>
      <c r="Q53" s="2" t="s">
        <v>250</v>
      </c>
    </row>
    <row r="54" spans="1:17" ht="15.75" customHeight="1" x14ac:dyDescent="0.25">
      <c r="A54" s="1" t="s">
        <v>115</v>
      </c>
      <c r="B54" s="1" t="s">
        <v>18</v>
      </c>
      <c r="C54" s="1" t="s">
        <v>19</v>
      </c>
      <c r="D54" s="1" t="s">
        <v>20</v>
      </c>
      <c r="E54" s="1" t="s">
        <v>21</v>
      </c>
      <c r="F54" s="1" t="s">
        <v>22</v>
      </c>
      <c r="G54" s="1" t="s">
        <v>116</v>
      </c>
      <c r="H54" s="1" t="s">
        <v>117</v>
      </c>
      <c r="I54" s="1" t="s">
        <v>118</v>
      </c>
      <c r="J54" s="1" t="s">
        <v>26</v>
      </c>
      <c r="K54" s="1">
        <v>2023</v>
      </c>
      <c r="L54" s="1">
        <v>6</v>
      </c>
      <c r="M54" s="1" t="s">
        <v>27</v>
      </c>
      <c r="N54" s="1" t="s">
        <v>28</v>
      </c>
      <c r="O54" s="1" t="s">
        <v>29</v>
      </c>
      <c r="P54" s="1" t="s">
        <v>119</v>
      </c>
      <c r="Q54" s="1" t="s">
        <v>251</v>
      </c>
    </row>
    <row r="55" spans="1:17" ht="15.75" customHeight="1" x14ac:dyDescent="0.25">
      <c r="A55" s="1" t="s">
        <v>252</v>
      </c>
      <c r="B55" s="1" t="s">
        <v>18</v>
      </c>
      <c r="C55" s="1" t="s">
        <v>19</v>
      </c>
      <c r="D55" s="1" t="s">
        <v>20</v>
      </c>
      <c r="E55" s="1" t="s">
        <v>21</v>
      </c>
      <c r="F55" s="1" t="s">
        <v>22</v>
      </c>
      <c r="G55" s="1" t="s">
        <v>253</v>
      </c>
      <c r="H55" s="1" t="s">
        <v>254</v>
      </c>
      <c r="I55" s="1" t="s">
        <v>255</v>
      </c>
      <c r="J55" s="1" t="s">
        <v>26</v>
      </c>
      <c r="K55" s="1">
        <v>2023</v>
      </c>
      <c r="L55" s="1">
        <v>6</v>
      </c>
      <c r="M55" s="1" t="s">
        <v>27</v>
      </c>
      <c r="N55" s="1" t="s">
        <v>28</v>
      </c>
      <c r="O55" s="1" t="s">
        <v>29</v>
      </c>
      <c r="P55" s="1" t="s">
        <v>256</v>
      </c>
      <c r="Q55" s="1" t="s">
        <v>257</v>
      </c>
    </row>
    <row r="56" spans="1:17" ht="15.75" customHeight="1" x14ac:dyDescent="0.25">
      <c r="A56" s="1" t="s">
        <v>228</v>
      </c>
      <c r="B56" s="1" t="s">
        <v>18</v>
      </c>
      <c r="C56" s="1" t="s">
        <v>19</v>
      </c>
      <c r="D56" s="1" t="s">
        <v>20</v>
      </c>
      <c r="E56" s="1" t="s">
        <v>86</v>
      </c>
      <c r="F56" s="1" t="s">
        <v>22</v>
      </c>
      <c r="G56" s="1" t="s">
        <v>223</v>
      </c>
      <c r="H56" s="1" t="s">
        <v>258</v>
      </c>
      <c r="I56" s="1" t="s">
        <v>259</v>
      </c>
      <c r="J56" s="1" t="s">
        <v>26</v>
      </c>
      <c r="K56" s="1">
        <v>2023</v>
      </c>
      <c r="L56" s="1">
        <v>7</v>
      </c>
      <c r="M56" s="1" t="s">
        <v>89</v>
      </c>
      <c r="N56" s="1" t="s">
        <v>28</v>
      </c>
      <c r="O56" s="1" t="s">
        <v>29</v>
      </c>
      <c r="P56" s="1" t="s">
        <v>226</v>
      </c>
      <c r="Q56" s="1" t="s">
        <v>260</v>
      </c>
    </row>
    <row r="57" spans="1:17" ht="15.75" customHeight="1" x14ac:dyDescent="0.25">
      <c r="A57" s="1" t="s">
        <v>32</v>
      </c>
      <c r="B57" s="1" t="s">
        <v>18</v>
      </c>
      <c r="C57" s="1" t="s">
        <v>19</v>
      </c>
      <c r="D57" s="1" t="s">
        <v>20</v>
      </c>
      <c r="E57" s="1" t="s">
        <v>21</v>
      </c>
      <c r="F57" s="1" t="s">
        <v>22</v>
      </c>
      <c r="G57" s="1" t="s">
        <v>33</v>
      </c>
      <c r="H57" s="1" t="s">
        <v>34</v>
      </c>
      <c r="I57" s="1" t="s">
        <v>35</v>
      </c>
      <c r="J57" s="1" t="s">
        <v>26</v>
      </c>
      <c r="K57" s="1">
        <v>2023</v>
      </c>
      <c r="L57" s="1">
        <v>7</v>
      </c>
      <c r="M57" s="1" t="s">
        <v>27</v>
      </c>
      <c r="N57" s="1" t="s">
        <v>28</v>
      </c>
      <c r="O57" s="1" t="s">
        <v>29</v>
      </c>
      <c r="P57" s="1" t="s">
        <v>36</v>
      </c>
      <c r="Q57" s="1" t="s">
        <v>261</v>
      </c>
    </row>
    <row r="58" spans="1:17" ht="15.75" customHeight="1" x14ac:dyDescent="0.25">
      <c r="A58" s="1" t="s">
        <v>200</v>
      </c>
      <c r="B58" s="1" t="s">
        <v>18</v>
      </c>
      <c r="C58" s="1" t="s">
        <v>19</v>
      </c>
      <c r="D58" s="1" t="s">
        <v>20</v>
      </c>
      <c r="E58" s="1" t="s">
        <v>21</v>
      </c>
      <c r="F58" s="1" t="s">
        <v>22</v>
      </c>
      <c r="G58" s="1" t="s">
        <v>201</v>
      </c>
      <c r="H58" s="1" t="s">
        <v>202</v>
      </c>
      <c r="I58" s="1" t="s">
        <v>203</v>
      </c>
      <c r="J58" s="1" t="s">
        <v>26</v>
      </c>
      <c r="K58" s="1">
        <v>2023</v>
      </c>
      <c r="L58" s="1">
        <v>7</v>
      </c>
      <c r="M58" s="1" t="s">
        <v>27</v>
      </c>
      <c r="N58" s="1" t="s">
        <v>28</v>
      </c>
      <c r="O58" s="1" t="s">
        <v>29</v>
      </c>
      <c r="P58" s="1" t="s">
        <v>204</v>
      </c>
      <c r="Q58" s="1" t="s">
        <v>262</v>
      </c>
    </row>
    <row r="59" spans="1:17" ht="15.75" customHeight="1" x14ac:dyDescent="0.25">
      <c r="A59" s="1" t="s">
        <v>85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61</v>
      </c>
      <c r="H59" s="1" t="s">
        <v>263</v>
      </c>
      <c r="I59" s="1" t="s">
        <v>264</v>
      </c>
      <c r="J59" s="1" t="s">
        <v>26</v>
      </c>
      <c r="K59" s="1">
        <v>2023</v>
      </c>
      <c r="L59" s="1">
        <v>7</v>
      </c>
      <c r="M59" s="1" t="s">
        <v>27</v>
      </c>
      <c r="N59" s="1" t="s">
        <v>28</v>
      </c>
      <c r="O59" s="1" t="s">
        <v>29</v>
      </c>
      <c r="P59" s="1" t="s">
        <v>65</v>
      </c>
      <c r="Q59" s="1" t="s">
        <v>265</v>
      </c>
    </row>
    <row r="60" spans="1:17" ht="15.75" customHeight="1" x14ac:dyDescent="0.25">
      <c r="A60" s="1" t="s">
        <v>266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22</v>
      </c>
      <c r="G60" s="1" t="s">
        <v>267</v>
      </c>
      <c r="H60" s="1" t="s">
        <v>268</v>
      </c>
      <c r="I60" s="1" t="s">
        <v>269</v>
      </c>
      <c r="J60" s="1" t="s">
        <v>26</v>
      </c>
      <c r="K60" s="1">
        <v>2023</v>
      </c>
      <c r="L60" s="1">
        <v>7</v>
      </c>
      <c r="M60" s="1" t="s">
        <v>27</v>
      </c>
      <c r="N60" s="1" t="s">
        <v>28</v>
      </c>
      <c r="O60" s="1" t="s">
        <v>29</v>
      </c>
      <c r="P60" s="1" t="s">
        <v>270</v>
      </c>
      <c r="Q60" s="1" t="s">
        <v>271</v>
      </c>
    </row>
    <row r="61" spans="1:17" ht="15.75" customHeight="1" x14ac:dyDescent="0.25">
      <c r="A61" s="1" t="s">
        <v>74</v>
      </c>
      <c r="B61" s="1" t="s">
        <v>18</v>
      </c>
      <c r="C61" s="1" t="s">
        <v>19</v>
      </c>
      <c r="D61" s="1" t="s">
        <v>20</v>
      </c>
      <c r="E61" s="1" t="s">
        <v>21</v>
      </c>
      <c r="F61" s="1" t="s">
        <v>22</v>
      </c>
      <c r="G61" s="1" t="s">
        <v>75</v>
      </c>
      <c r="H61" s="1" t="s">
        <v>76</v>
      </c>
      <c r="I61" s="1" t="s">
        <v>77</v>
      </c>
      <c r="J61" s="1" t="s">
        <v>26</v>
      </c>
      <c r="K61" s="1">
        <v>2023</v>
      </c>
      <c r="L61" s="1">
        <v>7</v>
      </c>
      <c r="M61" s="1" t="s">
        <v>27</v>
      </c>
      <c r="N61" s="1" t="s">
        <v>28</v>
      </c>
      <c r="O61" s="1" t="s">
        <v>29</v>
      </c>
      <c r="P61" s="1" t="s">
        <v>78</v>
      </c>
      <c r="Q61" s="1" t="s">
        <v>272</v>
      </c>
    </row>
    <row r="62" spans="1:17" ht="15.75" customHeight="1" x14ac:dyDescent="0.25">
      <c r="A62" s="1" t="s">
        <v>273</v>
      </c>
      <c r="B62" s="1" t="s">
        <v>18</v>
      </c>
      <c r="C62" s="1" t="s">
        <v>19</v>
      </c>
      <c r="D62" s="1" t="s">
        <v>123</v>
      </c>
      <c r="E62" s="1" t="s">
        <v>274</v>
      </c>
      <c r="F62" s="1" t="s">
        <v>125</v>
      </c>
      <c r="G62" s="1" t="s">
        <v>275</v>
      </c>
      <c r="H62" s="1" t="s">
        <v>276</v>
      </c>
      <c r="I62" s="1" t="s">
        <v>277</v>
      </c>
      <c r="J62" s="1" t="s">
        <v>278</v>
      </c>
      <c r="K62" s="1">
        <v>2023</v>
      </c>
      <c r="L62" s="1">
        <v>24</v>
      </c>
      <c r="M62" s="1" t="s">
        <v>279</v>
      </c>
      <c r="N62" s="1" t="s">
        <v>28</v>
      </c>
      <c r="O62" s="1" t="s">
        <v>131</v>
      </c>
      <c r="P62" s="1" t="s">
        <v>280</v>
      </c>
      <c r="Q62" s="1" t="s">
        <v>281</v>
      </c>
    </row>
    <row r="63" spans="1:17" ht="15.75" customHeight="1" x14ac:dyDescent="0.25">
      <c r="A63" s="1" t="s">
        <v>151</v>
      </c>
      <c r="B63" s="1" t="s">
        <v>18</v>
      </c>
      <c r="C63" s="1" t="s">
        <v>19</v>
      </c>
      <c r="D63" s="1" t="s">
        <v>20</v>
      </c>
      <c r="E63" s="1" t="s">
        <v>21</v>
      </c>
      <c r="F63" s="1" t="s">
        <v>22</v>
      </c>
      <c r="G63" s="1" t="s">
        <v>282</v>
      </c>
      <c r="H63" s="1" t="s">
        <v>283</v>
      </c>
      <c r="I63" s="1" t="s">
        <v>284</v>
      </c>
      <c r="J63" s="1" t="s">
        <v>26</v>
      </c>
      <c r="K63" s="1">
        <v>2023</v>
      </c>
      <c r="L63" s="1">
        <v>7</v>
      </c>
      <c r="M63" s="1" t="s">
        <v>27</v>
      </c>
      <c r="N63" s="1" t="s">
        <v>28</v>
      </c>
      <c r="O63" s="1" t="s">
        <v>29</v>
      </c>
      <c r="P63" s="1" t="s">
        <v>285</v>
      </c>
      <c r="Q63" s="1" t="s">
        <v>286</v>
      </c>
    </row>
    <row r="64" spans="1:17" ht="15.75" customHeight="1" x14ac:dyDescent="0.25">
      <c r="A64" s="1" t="s">
        <v>54</v>
      </c>
      <c r="B64" s="1" t="s">
        <v>18</v>
      </c>
      <c r="C64" s="1" t="s">
        <v>19</v>
      </c>
      <c r="D64" s="1" t="s">
        <v>20</v>
      </c>
      <c r="E64" s="1" t="s">
        <v>21</v>
      </c>
      <c r="F64" s="1" t="s">
        <v>22</v>
      </c>
      <c r="G64" s="1" t="s">
        <v>39</v>
      </c>
      <c r="H64" s="1" t="s">
        <v>287</v>
      </c>
      <c r="I64" s="1" t="s">
        <v>288</v>
      </c>
      <c r="J64" s="1" t="s">
        <v>26</v>
      </c>
      <c r="K64" s="1">
        <v>2023</v>
      </c>
      <c r="L64" s="1">
        <v>7</v>
      </c>
      <c r="M64" s="1" t="s">
        <v>27</v>
      </c>
      <c r="N64" s="1" t="s">
        <v>28</v>
      </c>
      <c r="O64" s="1" t="s">
        <v>29</v>
      </c>
      <c r="P64" s="1" t="s">
        <v>42</v>
      </c>
      <c r="Q64" s="1" t="s">
        <v>289</v>
      </c>
    </row>
    <row r="65" spans="1:17" ht="15.75" customHeight="1" x14ac:dyDescent="0.25">
      <c r="A65" s="1" t="s">
        <v>161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22</v>
      </c>
      <c r="G65" s="1" t="s">
        <v>49</v>
      </c>
      <c r="H65" s="1" t="s">
        <v>162</v>
      </c>
      <c r="I65" s="1" t="s">
        <v>163</v>
      </c>
      <c r="J65" s="1" t="s">
        <v>26</v>
      </c>
      <c r="K65" s="1">
        <v>2023</v>
      </c>
      <c r="L65" s="1">
        <v>7</v>
      </c>
      <c r="M65" s="1" t="s">
        <v>27</v>
      </c>
      <c r="N65" s="1" t="s">
        <v>28</v>
      </c>
      <c r="O65" s="1" t="s">
        <v>29</v>
      </c>
      <c r="P65" s="1" t="s">
        <v>52</v>
      </c>
      <c r="Q65" s="1" t="s">
        <v>290</v>
      </c>
    </row>
    <row r="66" spans="1:17" ht="15.75" customHeight="1" x14ac:dyDescent="0.25">
      <c r="A66" s="1" t="s">
        <v>291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22</v>
      </c>
      <c r="G66" s="1" t="s">
        <v>167</v>
      </c>
      <c r="H66" s="1" t="s">
        <v>292</v>
      </c>
      <c r="I66" s="1" t="s">
        <v>293</v>
      </c>
      <c r="J66" s="1" t="s">
        <v>26</v>
      </c>
      <c r="K66" s="1">
        <v>2023</v>
      </c>
      <c r="L66" s="1">
        <v>7</v>
      </c>
      <c r="M66" s="1" t="s">
        <v>27</v>
      </c>
      <c r="N66" s="1" t="s">
        <v>28</v>
      </c>
      <c r="O66" s="1" t="s">
        <v>29</v>
      </c>
      <c r="P66" s="1" t="s">
        <v>170</v>
      </c>
      <c r="Q66" s="1" t="s">
        <v>294</v>
      </c>
    </row>
    <row r="67" spans="1:17" ht="15.75" customHeight="1" x14ac:dyDescent="0.25">
      <c r="A67" s="1" t="s">
        <v>295</v>
      </c>
      <c r="B67" s="1" t="s">
        <v>18</v>
      </c>
      <c r="C67" s="1" t="s">
        <v>19</v>
      </c>
      <c r="D67" s="1" t="s">
        <v>20</v>
      </c>
      <c r="E67" s="1" t="s">
        <v>86</v>
      </c>
      <c r="F67" s="1" t="s">
        <v>22</v>
      </c>
      <c r="G67" s="1" t="s">
        <v>92</v>
      </c>
      <c r="H67" s="1" t="s">
        <v>93</v>
      </c>
      <c r="I67" s="1" t="s">
        <v>94</v>
      </c>
      <c r="J67" s="1" t="s">
        <v>26</v>
      </c>
      <c r="K67" s="1">
        <v>2023</v>
      </c>
      <c r="L67" s="1">
        <v>8</v>
      </c>
      <c r="M67" s="1" t="s">
        <v>89</v>
      </c>
      <c r="N67" s="1" t="s">
        <v>28</v>
      </c>
      <c r="O67" s="1" t="s">
        <v>29</v>
      </c>
      <c r="P67" s="1" t="s">
        <v>95</v>
      </c>
      <c r="Q67" s="1" t="s">
        <v>296</v>
      </c>
    </row>
    <row r="68" spans="1:17" ht="15.75" customHeight="1" x14ac:dyDescent="0.25">
      <c r="A68" s="1" t="s">
        <v>297</v>
      </c>
      <c r="B68" s="1" t="s">
        <v>18</v>
      </c>
      <c r="C68" s="1" t="s">
        <v>19</v>
      </c>
      <c r="D68" s="1" t="s">
        <v>20</v>
      </c>
      <c r="E68" s="1" t="s">
        <v>86</v>
      </c>
      <c r="F68" s="1" t="s">
        <v>22</v>
      </c>
      <c r="G68" s="1" t="s">
        <v>298</v>
      </c>
      <c r="H68" s="1" t="s">
        <v>299</v>
      </c>
      <c r="I68" s="1" t="s">
        <v>300</v>
      </c>
      <c r="J68" s="1" t="s">
        <v>26</v>
      </c>
      <c r="K68" s="1">
        <v>2023</v>
      </c>
      <c r="L68" s="1">
        <v>8</v>
      </c>
      <c r="M68" s="1" t="s">
        <v>89</v>
      </c>
      <c r="N68" s="1" t="s">
        <v>28</v>
      </c>
      <c r="O68" s="1" t="s">
        <v>29</v>
      </c>
      <c r="P68" s="1" t="s">
        <v>301</v>
      </c>
      <c r="Q68" s="1" t="s">
        <v>302</v>
      </c>
    </row>
    <row r="69" spans="1:17" ht="15.75" customHeight="1" x14ac:dyDescent="0.25">
      <c r="A69" s="1" t="s">
        <v>109</v>
      </c>
      <c r="B69" s="1" t="s">
        <v>18</v>
      </c>
      <c r="C69" s="1" t="s">
        <v>19</v>
      </c>
      <c r="D69" s="1" t="s">
        <v>20</v>
      </c>
      <c r="E69" s="1" t="s">
        <v>21</v>
      </c>
      <c r="F69" s="1" t="s">
        <v>22</v>
      </c>
      <c r="G69" s="1" t="s">
        <v>303</v>
      </c>
      <c r="H69" s="1" t="s">
        <v>304</v>
      </c>
      <c r="I69" s="1" t="s">
        <v>305</v>
      </c>
      <c r="J69" s="1" t="s">
        <v>26</v>
      </c>
      <c r="K69" s="1">
        <v>2023</v>
      </c>
      <c r="L69" s="1">
        <v>8</v>
      </c>
      <c r="M69" s="1" t="s">
        <v>27</v>
      </c>
      <c r="N69" s="1" t="s">
        <v>28</v>
      </c>
      <c r="O69" s="1" t="s">
        <v>29</v>
      </c>
      <c r="P69" s="1" t="s">
        <v>306</v>
      </c>
      <c r="Q69" s="1" t="s">
        <v>307</v>
      </c>
    </row>
    <row r="70" spans="1:17" ht="15.75" customHeight="1" x14ac:dyDescent="0.25">
      <c r="A70" s="1" t="s">
        <v>308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 t="s">
        <v>267</v>
      </c>
      <c r="H70" s="1" t="s">
        <v>309</v>
      </c>
      <c r="I70" s="1" t="s">
        <v>310</v>
      </c>
      <c r="J70" s="1" t="s">
        <v>26</v>
      </c>
      <c r="K70" s="1">
        <v>2023</v>
      </c>
      <c r="L70" s="1">
        <v>8</v>
      </c>
      <c r="M70" s="1" t="s">
        <v>27</v>
      </c>
      <c r="N70" s="1" t="s">
        <v>28</v>
      </c>
      <c r="O70" s="1" t="s">
        <v>29</v>
      </c>
      <c r="P70" s="1" t="s">
        <v>270</v>
      </c>
      <c r="Q70" s="1" t="s">
        <v>311</v>
      </c>
    </row>
    <row r="71" spans="1:17" ht="15.75" customHeight="1" x14ac:dyDescent="0.25">
      <c r="A71" s="1" t="s">
        <v>235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 t="s">
        <v>75</v>
      </c>
      <c r="H71" s="1" t="s">
        <v>236</v>
      </c>
      <c r="I71" s="1" t="s">
        <v>237</v>
      </c>
      <c r="J71" s="1" t="s">
        <v>26</v>
      </c>
      <c r="K71" s="1">
        <v>2023</v>
      </c>
      <c r="L71" s="1">
        <v>8</v>
      </c>
      <c r="M71" s="1" t="s">
        <v>27</v>
      </c>
      <c r="N71" s="1" t="s">
        <v>28</v>
      </c>
      <c r="O71" s="1" t="s">
        <v>29</v>
      </c>
      <c r="P71" s="1" t="s">
        <v>78</v>
      </c>
      <c r="Q71" s="1" t="s">
        <v>312</v>
      </c>
    </row>
    <row r="72" spans="1:17" ht="15.75" customHeight="1" x14ac:dyDescent="0.25">
      <c r="A72" s="1" t="s">
        <v>313</v>
      </c>
      <c r="B72" s="1" t="s">
        <v>18</v>
      </c>
      <c r="C72" s="1" t="s">
        <v>19</v>
      </c>
      <c r="D72" s="1" t="s">
        <v>20</v>
      </c>
      <c r="E72" s="1" t="s">
        <v>21</v>
      </c>
      <c r="F72" s="1" t="s">
        <v>22</v>
      </c>
      <c r="G72" s="1" t="s">
        <v>314</v>
      </c>
      <c r="H72" s="1" t="s">
        <v>315</v>
      </c>
      <c r="I72" s="1" t="s">
        <v>316</v>
      </c>
      <c r="J72" s="1" t="s">
        <v>26</v>
      </c>
      <c r="K72" s="1">
        <v>2023</v>
      </c>
      <c r="L72" s="1">
        <v>8</v>
      </c>
      <c r="M72" s="1" t="s">
        <v>27</v>
      </c>
      <c r="N72" s="1" t="s">
        <v>28</v>
      </c>
      <c r="O72" s="1" t="s">
        <v>29</v>
      </c>
      <c r="P72" s="1" t="s">
        <v>317</v>
      </c>
      <c r="Q72" s="1" t="s">
        <v>318</v>
      </c>
    </row>
    <row r="73" spans="1:17" ht="15.75" customHeight="1" x14ac:dyDescent="0.25">
      <c r="A73" s="1" t="s">
        <v>54</v>
      </c>
      <c r="B73" s="1" t="s">
        <v>18</v>
      </c>
      <c r="C73" s="1" t="s">
        <v>19</v>
      </c>
      <c r="D73" s="1" t="s">
        <v>20</v>
      </c>
      <c r="E73" s="1" t="s">
        <v>21</v>
      </c>
      <c r="F73" s="1" t="s">
        <v>22</v>
      </c>
      <c r="G73" s="1" t="s">
        <v>55</v>
      </c>
      <c r="H73" s="1" t="s">
        <v>56</v>
      </c>
      <c r="I73" s="1" t="s">
        <v>57</v>
      </c>
      <c r="J73" s="1" t="s">
        <v>26</v>
      </c>
      <c r="K73" s="1">
        <v>2023</v>
      </c>
      <c r="L73" s="1">
        <v>8</v>
      </c>
      <c r="M73" s="1" t="s">
        <v>27</v>
      </c>
      <c r="N73" s="1" t="s">
        <v>28</v>
      </c>
      <c r="O73" s="1" t="s">
        <v>29</v>
      </c>
      <c r="P73" s="1" t="s">
        <v>58</v>
      </c>
      <c r="Q73" s="1" t="s">
        <v>319</v>
      </c>
    </row>
    <row r="74" spans="1:17" ht="15.75" customHeight="1" x14ac:dyDescent="0.25">
      <c r="A74" s="1" t="s">
        <v>252</v>
      </c>
      <c r="B74" s="1" t="s">
        <v>18</v>
      </c>
      <c r="C74" s="1" t="s">
        <v>19</v>
      </c>
      <c r="D74" s="1" t="s">
        <v>20</v>
      </c>
      <c r="E74" s="1" t="s">
        <v>21</v>
      </c>
      <c r="F74" s="1" t="s">
        <v>22</v>
      </c>
      <c r="G74" s="1" t="s">
        <v>253</v>
      </c>
      <c r="H74" s="1" t="s">
        <v>254</v>
      </c>
      <c r="I74" s="1" t="s">
        <v>255</v>
      </c>
      <c r="J74" s="1" t="s">
        <v>26</v>
      </c>
      <c r="K74" s="1">
        <v>2023</v>
      </c>
      <c r="L74" s="1">
        <v>8</v>
      </c>
      <c r="M74" s="1" t="s">
        <v>27</v>
      </c>
      <c r="N74" s="1" t="s">
        <v>28</v>
      </c>
      <c r="O74" s="1" t="s">
        <v>29</v>
      </c>
      <c r="P74" s="1" t="s">
        <v>256</v>
      </c>
      <c r="Q74" s="1" t="s">
        <v>320</v>
      </c>
    </row>
    <row r="75" spans="1:17" ht="15.75" customHeight="1" x14ac:dyDescent="0.25">
      <c r="A75" s="1" t="s">
        <v>166</v>
      </c>
      <c r="B75" s="1" t="s">
        <v>18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167</v>
      </c>
      <c r="H75" s="1" t="s">
        <v>168</v>
      </c>
      <c r="I75" s="1" t="s">
        <v>169</v>
      </c>
      <c r="J75" s="1" t="s">
        <v>26</v>
      </c>
      <c r="K75" s="1">
        <v>2023</v>
      </c>
      <c r="L75" s="1">
        <v>8</v>
      </c>
      <c r="M75" s="1" t="s">
        <v>27</v>
      </c>
      <c r="N75" s="1" t="s">
        <v>28</v>
      </c>
      <c r="O75" s="1" t="s">
        <v>29</v>
      </c>
      <c r="P75" s="1" t="s">
        <v>170</v>
      </c>
      <c r="Q75" s="1" t="s">
        <v>321</v>
      </c>
    </row>
    <row r="76" spans="1:17" ht="15.75" customHeight="1" x14ac:dyDescent="0.25">
      <c r="A76" s="1" t="s">
        <v>85</v>
      </c>
      <c r="B76" s="1" t="s">
        <v>18</v>
      </c>
      <c r="C76" s="1" t="s">
        <v>19</v>
      </c>
      <c r="D76" s="1" t="s">
        <v>20</v>
      </c>
      <c r="E76" s="1" t="s">
        <v>86</v>
      </c>
      <c r="F76" s="1" t="s">
        <v>22</v>
      </c>
      <c r="G76" s="1" t="s">
        <v>61</v>
      </c>
      <c r="H76" s="1" t="s">
        <v>87</v>
      </c>
      <c r="I76" s="1" t="s">
        <v>88</v>
      </c>
      <c r="J76" s="1" t="s">
        <v>26</v>
      </c>
      <c r="K76" s="1">
        <v>2023</v>
      </c>
      <c r="L76" s="1">
        <v>9</v>
      </c>
      <c r="M76" s="1" t="s">
        <v>89</v>
      </c>
      <c r="N76" s="1" t="s">
        <v>28</v>
      </c>
      <c r="O76" s="1" t="s">
        <v>29</v>
      </c>
      <c r="P76" s="1" t="s">
        <v>65</v>
      </c>
      <c r="Q76" s="1" t="s">
        <v>322</v>
      </c>
    </row>
    <row r="77" spans="1:17" ht="15.75" customHeight="1" x14ac:dyDescent="0.25">
      <c r="A77" s="1" t="s">
        <v>323</v>
      </c>
      <c r="B77" s="1" t="s">
        <v>18</v>
      </c>
      <c r="C77" s="1" t="s">
        <v>19</v>
      </c>
      <c r="D77" s="1" t="s">
        <v>20</v>
      </c>
      <c r="E77" s="1" t="s">
        <v>86</v>
      </c>
      <c r="F77" s="1" t="s">
        <v>22</v>
      </c>
      <c r="G77" s="1" t="s">
        <v>324</v>
      </c>
      <c r="H77" s="1" t="s">
        <v>325</v>
      </c>
      <c r="I77" s="1" t="s">
        <v>326</v>
      </c>
      <c r="J77" s="1" t="s">
        <v>26</v>
      </c>
      <c r="K77" s="1">
        <v>2023</v>
      </c>
      <c r="L77" s="1">
        <v>9</v>
      </c>
      <c r="M77" s="1" t="s">
        <v>89</v>
      </c>
      <c r="N77" s="1" t="s">
        <v>28</v>
      </c>
      <c r="O77" s="1" t="s">
        <v>29</v>
      </c>
      <c r="P77" s="1" t="s">
        <v>327</v>
      </c>
      <c r="Q77" s="1" t="s">
        <v>328</v>
      </c>
    </row>
    <row r="78" spans="1:17" ht="15.75" customHeight="1" x14ac:dyDescent="0.25">
      <c r="A78" s="1" t="s">
        <v>329</v>
      </c>
      <c r="B78" s="1" t="s">
        <v>18</v>
      </c>
      <c r="C78" s="1" t="s">
        <v>19</v>
      </c>
      <c r="D78" s="1" t="s">
        <v>20</v>
      </c>
      <c r="E78" s="1" t="s">
        <v>21</v>
      </c>
      <c r="F78" s="1" t="s">
        <v>22</v>
      </c>
      <c r="G78" s="1" t="s">
        <v>61</v>
      </c>
      <c r="H78" s="1" t="s">
        <v>330</v>
      </c>
      <c r="I78" s="1" t="s">
        <v>331</v>
      </c>
      <c r="J78" s="1" t="s">
        <v>26</v>
      </c>
      <c r="K78" s="1">
        <v>2023</v>
      </c>
      <c r="L78" s="1">
        <v>9</v>
      </c>
      <c r="M78" s="1" t="s">
        <v>27</v>
      </c>
      <c r="N78" s="1" t="s">
        <v>28</v>
      </c>
      <c r="O78" s="1" t="s">
        <v>29</v>
      </c>
      <c r="P78" s="1" t="s">
        <v>65</v>
      </c>
      <c r="Q78" s="1" t="s">
        <v>332</v>
      </c>
    </row>
    <row r="79" spans="1:17" ht="15.75" customHeight="1" x14ac:dyDescent="0.25">
      <c r="A79" s="1" t="s">
        <v>333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22</v>
      </c>
      <c r="G79" s="1" t="s">
        <v>334</v>
      </c>
      <c r="H79" s="1" t="s">
        <v>335</v>
      </c>
      <c r="I79" s="1" t="s">
        <v>336</v>
      </c>
      <c r="J79" s="1" t="s">
        <v>26</v>
      </c>
      <c r="K79" s="1">
        <v>2023</v>
      </c>
      <c r="L79" s="1">
        <v>9</v>
      </c>
      <c r="M79" s="1" t="s">
        <v>27</v>
      </c>
      <c r="N79" s="1" t="s">
        <v>28</v>
      </c>
      <c r="O79" s="1" t="s">
        <v>29</v>
      </c>
      <c r="P79" s="1" t="s">
        <v>337</v>
      </c>
      <c r="Q79" s="1" t="s">
        <v>338</v>
      </c>
    </row>
    <row r="80" spans="1:17" ht="15.75" customHeight="1" x14ac:dyDescent="0.25">
      <c r="A80" s="1" t="s">
        <v>339</v>
      </c>
      <c r="B80" s="1" t="s">
        <v>18</v>
      </c>
      <c r="C80" s="1" t="s">
        <v>19</v>
      </c>
      <c r="D80" s="1" t="s">
        <v>20</v>
      </c>
      <c r="E80" s="1" t="s">
        <v>21</v>
      </c>
      <c r="F80" s="1" t="s">
        <v>22</v>
      </c>
      <c r="G80" s="1" t="s">
        <v>75</v>
      </c>
      <c r="H80" s="1" t="s">
        <v>340</v>
      </c>
      <c r="I80" s="1" t="s">
        <v>341</v>
      </c>
      <c r="J80" s="1" t="s">
        <v>26</v>
      </c>
      <c r="K80" s="1">
        <v>2023</v>
      </c>
      <c r="L80" s="1">
        <v>9</v>
      </c>
      <c r="M80" s="1" t="s">
        <v>27</v>
      </c>
      <c r="N80" s="1" t="s">
        <v>28</v>
      </c>
      <c r="O80" s="1" t="s">
        <v>29</v>
      </c>
      <c r="P80" s="1" t="s">
        <v>78</v>
      </c>
      <c r="Q80" s="1" t="s">
        <v>342</v>
      </c>
    </row>
    <row r="81" spans="1:17" ht="15.75" customHeight="1" x14ac:dyDescent="0.25">
      <c r="A81" s="1" t="s">
        <v>38</v>
      </c>
      <c r="B81" s="1" t="s">
        <v>18</v>
      </c>
      <c r="C81" s="1" t="s">
        <v>19</v>
      </c>
      <c r="D81" s="1" t="s">
        <v>20</v>
      </c>
      <c r="E81" s="1" t="s">
        <v>21</v>
      </c>
      <c r="F81" s="1" t="s">
        <v>22</v>
      </c>
      <c r="G81" s="1" t="s">
        <v>39</v>
      </c>
      <c r="H81" s="1" t="s">
        <v>40</v>
      </c>
      <c r="I81" s="1" t="s">
        <v>41</v>
      </c>
      <c r="J81" s="1" t="s">
        <v>26</v>
      </c>
      <c r="K81" s="1">
        <v>2023</v>
      </c>
      <c r="L81" s="1">
        <v>9</v>
      </c>
      <c r="M81" s="1" t="s">
        <v>27</v>
      </c>
      <c r="N81" s="1" t="s">
        <v>28</v>
      </c>
      <c r="O81" s="1" t="s">
        <v>29</v>
      </c>
      <c r="P81" s="1" t="s">
        <v>42</v>
      </c>
      <c r="Q81" s="1" t="s">
        <v>343</v>
      </c>
    </row>
    <row r="82" spans="1:17" ht="15.75" customHeight="1" x14ac:dyDescent="0.25">
      <c r="A82" s="1" t="s">
        <v>344</v>
      </c>
      <c r="B82" s="1" t="s">
        <v>18</v>
      </c>
      <c r="C82" s="1" t="s">
        <v>19</v>
      </c>
      <c r="D82" s="1" t="s">
        <v>123</v>
      </c>
      <c r="E82" s="1" t="s">
        <v>124</v>
      </c>
      <c r="F82" s="1" t="s">
        <v>125</v>
      </c>
      <c r="G82" s="1" t="s">
        <v>135</v>
      </c>
      <c r="H82" s="1" t="s">
        <v>345</v>
      </c>
      <c r="I82" s="1" t="s">
        <v>346</v>
      </c>
      <c r="J82" s="1" t="s">
        <v>347</v>
      </c>
      <c r="K82" s="1">
        <v>2023</v>
      </c>
      <c r="L82" s="1">
        <v>1</v>
      </c>
      <c r="M82" s="1" t="s">
        <v>130</v>
      </c>
      <c r="N82" s="1" t="s">
        <v>28</v>
      </c>
      <c r="O82" s="1" t="s">
        <v>131</v>
      </c>
      <c r="P82" s="1" t="s">
        <v>138</v>
      </c>
      <c r="Q82" s="1" t="s">
        <v>348</v>
      </c>
    </row>
    <row r="83" spans="1:17" ht="15.75" customHeight="1" x14ac:dyDescent="0.25">
      <c r="A83" s="1" t="s">
        <v>349</v>
      </c>
      <c r="B83" s="1" t="s">
        <v>18</v>
      </c>
      <c r="C83" s="1" t="s">
        <v>19</v>
      </c>
      <c r="D83" s="1" t="s">
        <v>20</v>
      </c>
      <c r="E83" s="1" t="s">
        <v>21</v>
      </c>
      <c r="F83" s="1" t="s">
        <v>22</v>
      </c>
      <c r="G83" s="1" t="s">
        <v>152</v>
      </c>
      <c r="H83" s="1" t="s">
        <v>350</v>
      </c>
      <c r="I83" s="1" t="s">
        <v>351</v>
      </c>
      <c r="J83" s="1" t="s">
        <v>26</v>
      </c>
      <c r="K83" s="1">
        <v>2023</v>
      </c>
      <c r="L83" s="1">
        <v>9</v>
      </c>
      <c r="M83" s="1" t="s">
        <v>27</v>
      </c>
      <c r="N83" s="1" t="s">
        <v>28</v>
      </c>
      <c r="O83" s="1" t="s">
        <v>29</v>
      </c>
      <c r="P83" s="1" t="s">
        <v>155</v>
      </c>
      <c r="Q83" s="1" t="s">
        <v>352</v>
      </c>
    </row>
    <row r="84" spans="1:17" ht="15.75" customHeight="1" x14ac:dyDescent="0.25">
      <c r="A84" s="1" t="s">
        <v>353</v>
      </c>
      <c r="B84" s="1" t="s">
        <v>18</v>
      </c>
      <c r="C84" s="1" t="s">
        <v>19</v>
      </c>
      <c r="D84" s="1" t="s">
        <v>123</v>
      </c>
      <c r="E84" s="1" t="s">
        <v>124</v>
      </c>
      <c r="F84" s="1" t="s">
        <v>125</v>
      </c>
      <c r="G84" s="1" t="s">
        <v>135</v>
      </c>
      <c r="H84" s="1" t="s">
        <v>354</v>
      </c>
      <c r="I84" s="1" t="s">
        <v>355</v>
      </c>
      <c r="J84" s="1" t="s">
        <v>129</v>
      </c>
      <c r="K84" s="1">
        <v>2025</v>
      </c>
      <c r="L84" s="1">
        <v>8</v>
      </c>
      <c r="M84" s="1" t="s">
        <v>130</v>
      </c>
      <c r="N84" s="1" t="s">
        <v>28</v>
      </c>
      <c r="O84" s="1" t="s">
        <v>131</v>
      </c>
      <c r="P84" s="1" t="s">
        <v>138</v>
      </c>
      <c r="Q84" s="1" t="s">
        <v>356</v>
      </c>
    </row>
    <row r="85" spans="1:17" ht="15.75" customHeight="1" x14ac:dyDescent="0.25">
      <c r="A85" s="1" t="s">
        <v>357</v>
      </c>
      <c r="B85" s="1" t="s">
        <v>18</v>
      </c>
      <c r="C85" s="1" t="s">
        <v>19</v>
      </c>
      <c r="D85" s="1" t="s">
        <v>20</v>
      </c>
      <c r="E85" s="1" t="s">
        <v>21</v>
      </c>
      <c r="F85" s="1" t="s">
        <v>22</v>
      </c>
      <c r="G85" s="1" t="s">
        <v>152</v>
      </c>
      <c r="H85" s="1" t="s">
        <v>358</v>
      </c>
      <c r="I85" s="1" t="s">
        <v>359</v>
      </c>
      <c r="J85" s="1" t="s">
        <v>26</v>
      </c>
      <c r="K85" s="1">
        <v>2023</v>
      </c>
      <c r="L85" s="1">
        <v>9</v>
      </c>
      <c r="M85" s="1" t="s">
        <v>27</v>
      </c>
      <c r="N85" s="1" t="s">
        <v>28</v>
      </c>
      <c r="O85" s="1" t="s">
        <v>29</v>
      </c>
      <c r="P85" s="1" t="s">
        <v>155</v>
      </c>
      <c r="Q85" s="1" t="s">
        <v>360</v>
      </c>
    </row>
    <row r="86" spans="1:17" ht="15.75" customHeight="1" x14ac:dyDescent="0.25">
      <c r="A86" s="1" t="s">
        <v>361</v>
      </c>
      <c r="B86" s="1" t="s">
        <v>18</v>
      </c>
      <c r="C86" s="1" t="s">
        <v>19</v>
      </c>
      <c r="D86" s="1" t="s">
        <v>20</v>
      </c>
      <c r="E86" s="1" t="s">
        <v>21</v>
      </c>
      <c r="F86" s="1" t="s">
        <v>22</v>
      </c>
      <c r="G86" s="1" t="s">
        <v>110</v>
      </c>
      <c r="H86" s="2" t="s">
        <v>111</v>
      </c>
      <c r="I86" s="2" t="s">
        <v>112</v>
      </c>
      <c r="J86" s="1" t="s">
        <v>26</v>
      </c>
      <c r="K86" s="1">
        <v>2023</v>
      </c>
      <c r="L86" s="1">
        <v>9</v>
      </c>
      <c r="M86" s="1" t="s">
        <v>27</v>
      </c>
      <c r="N86" s="1" t="s">
        <v>28</v>
      </c>
      <c r="O86" s="1" t="s">
        <v>29</v>
      </c>
      <c r="P86" s="1" t="s">
        <v>113</v>
      </c>
      <c r="Q86" s="2" t="s">
        <v>362</v>
      </c>
    </row>
    <row r="87" spans="1:17" ht="15.75" customHeight="1" x14ac:dyDescent="0.25">
      <c r="A87" s="1" t="s">
        <v>363</v>
      </c>
      <c r="B87" s="1" t="s">
        <v>18</v>
      </c>
      <c r="C87" s="1" t="s">
        <v>19</v>
      </c>
      <c r="D87" s="1" t="s">
        <v>20</v>
      </c>
      <c r="E87" s="1" t="s">
        <v>21</v>
      </c>
      <c r="F87" s="1" t="s">
        <v>22</v>
      </c>
      <c r="G87" s="1" t="s">
        <v>49</v>
      </c>
      <c r="H87" s="1" t="s">
        <v>162</v>
      </c>
      <c r="I87" s="1" t="s">
        <v>163</v>
      </c>
      <c r="J87" s="1" t="s">
        <v>26</v>
      </c>
      <c r="K87" s="1">
        <v>2023</v>
      </c>
      <c r="L87" s="1">
        <v>9</v>
      </c>
      <c r="M87" s="1" t="s">
        <v>27</v>
      </c>
      <c r="N87" s="1" t="s">
        <v>28</v>
      </c>
      <c r="O87" s="1" t="s">
        <v>29</v>
      </c>
      <c r="P87" s="1" t="s">
        <v>52</v>
      </c>
      <c r="Q87" s="1" t="s">
        <v>364</v>
      </c>
    </row>
    <row r="88" spans="1:17" ht="15.75" customHeight="1" x14ac:dyDescent="0.25">
      <c r="A88" s="1" t="s">
        <v>228</v>
      </c>
      <c r="B88" s="1" t="s">
        <v>18</v>
      </c>
      <c r="C88" s="1" t="s">
        <v>19</v>
      </c>
      <c r="D88" s="1" t="s">
        <v>20</v>
      </c>
      <c r="E88" s="1" t="s">
        <v>86</v>
      </c>
      <c r="F88" s="1" t="s">
        <v>22</v>
      </c>
      <c r="G88" s="1" t="s">
        <v>223</v>
      </c>
      <c r="H88" s="1" t="s">
        <v>258</v>
      </c>
      <c r="I88" s="1" t="s">
        <v>259</v>
      </c>
      <c r="J88" s="1" t="s">
        <v>26</v>
      </c>
      <c r="K88" s="1">
        <v>2023</v>
      </c>
      <c r="L88" s="1">
        <v>10</v>
      </c>
      <c r="M88" s="1" t="s">
        <v>89</v>
      </c>
      <c r="N88" s="1" t="s">
        <v>28</v>
      </c>
      <c r="O88" s="1" t="s">
        <v>29</v>
      </c>
      <c r="P88" s="1" t="s">
        <v>226</v>
      </c>
      <c r="Q88" s="1" t="s">
        <v>365</v>
      </c>
    </row>
    <row r="89" spans="1:17" ht="15.75" customHeight="1" x14ac:dyDescent="0.25">
      <c r="A89" s="1" t="s">
        <v>179</v>
      </c>
      <c r="B89" s="1" t="s">
        <v>18</v>
      </c>
      <c r="C89" s="1" t="s">
        <v>19</v>
      </c>
      <c r="D89" s="1" t="s">
        <v>20</v>
      </c>
      <c r="E89" s="1" t="s">
        <v>86</v>
      </c>
      <c r="F89" s="1" t="s">
        <v>22</v>
      </c>
      <c r="G89" s="1" t="s">
        <v>180</v>
      </c>
      <c r="H89" s="1" t="s">
        <v>181</v>
      </c>
      <c r="I89" s="1" t="s">
        <v>182</v>
      </c>
      <c r="J89" s="1" t="s">
        <v>26</v>
      </c>
      <c r="K89" s="1">
        <v>2023</v>
      </c>
      <c r="L89" s="1">
        <v>10</v>
      </c>
      <c r="M89" s="1" t="s">
        <v>89</v>
      </c>
      <c r="N89" s="1" t="s">
        <v>28</v>
      </c>
      <c r="O89" s="1" t="s">
        <v>29</v>
      </c>
      <c r="P89" s="1" t="s">
        <v>183</v>
      </c>
      <c r="Q89" s="1" t="s">
        <v>366</v>
      </c>
    </row>
    <row r="90" spans="1:17" ht="15.75" customHeight="1" x14ac:dyDescent="0.25">
      <c r="A90" s="1" t="s">
        <v>67</v>
      </c>
      <c r="B90" s="1" t="s">
        <v>18</v>
      </c>
      <c r="C90" s="1" t="s">
        <v>19</v>
      </c>
      <c r="D90" s="1" t="s">
        <v>20</v>
      </c>
      <c r="E90" s="1" t="s">
        <v>21</v>
      </c>
      <c r="F90" s="1" t="s">
        <v>22</v>
      </c>
      <c r="G90" s="1" t="s">
        <v>68</v>
      </c>
      <c r="H90" s="1" t="s">
        <v>69</v>
      </c>
      <c r="I90" s="1" t="s">
        <v>70</v>
      </c>
      <c r="J90" s="1" t="s">
        <v>26</v>
      </c>
      <c r="K90" s="1">
        <v>2023</v>
      </c>
      <c r="L90" s="1">
        <v>10</v>
      </c>
      <c r="M90" s="1" t="s">
        <v>27</v>
      </c>
      <c r="N90" s="1" t="s">
        <v>28</v>
      </c>
      <c r="O90" s="1" t="s">
        <v>29</v>
      </c>
      <c r="P90" s="1" t="s">
        <v>71</v>
      </c>
      <c r="Q90" s="1" t="s">
        <v>367</v>
      </c>
    </row>
    <row r="91" spans="1:17" ht="15.75" customHeight="1" x14ac:dyDescent="0.25">
      <c r="A91" s="1" t="s">
        <v>222</v>
      </c>
      <c r="B91" s="1" t="s">
        <v>18</v>
      </c>
      <c r="C91" s="1" t="s">
        <v>19</v>
      </c>
      <c r="D91" s="1" t="s">
        <v>20</v>
      </c>
      <c r="E91" s="1" t="s">
        <v>86</v>
      </c>
      <c r="F91" s="1" t="s">
        <v>22</v>
      </c>
      <c r="G91" s="1" t="s">
        <v>223</v>
      </c>
      <c r="H91" s="1" t="s">
        <v>224</v>
      </c>
      <c r="I91" s="1" t="s">
        <v>225</v>
      </c>
      <c r="J91" s="1" t="s">
        <v>26</v>
      </c>
      <c r="K91" s="1">
        <v>2023</v>
      </c>
      <c r="L91" s="1">
        <v>1</v>
      </c>
      <c r="M91" s="1" t="s">
        <v>89</v>
      </c>
      <c r="N91" s="1" t="s">
        <v>28</v>
      </c>
      <c r="O91" s="1" t="s">
        <v>29</v>
      </c>
      <c r="P91" s="1" t="s">
        <v>226</v>
      </c>
      <c r="Q91" s="1" t="s">
        <v>368</v>
      </c>
    </row>
    <row r="92" spans="1:17" ht="15.75" customHeight="1" x14ac:dyDescent="0.25">
      <c r="A92" s="1" t="s">
        <v>228</v>
      </c>
      <c r="B92" s="1" t="s">
        <v>18</v>
      </c>
      <c r="C92" s="1" t="s">
        <v>19</v>
      </c>
      <c r="D92" s="1" t="s">
        <v>20</v>
      </c>
      <c r="E92" s="1" t="s">
        <v>86</v>
      </c>
      <c r="F92" s="1" t="s">
        <v>22</v>
      </c>
      <c r="G92" s="1" t="s">
        <v>223</v>
      </c>
      <c r="H92" s="1" t="s">
        <v>229</v>
      </c>
      <c r="I92" s="1" t="s">
        <v>230</v>
      </c>
      <c r="J92" s="1" t="s">
        <v>26</v>
      </c>
      <c r="K92" s="1">
        <v>2023</v>
      </c>
      <c r="L92" s="1">
        <v>1</v>
      </c>
      <c r="M92" s="1" t="s">
        <v>89</v>
      </c>
      <c r="N92" s="1" t="s">
        <v>28</v>
      </c>
      <c r="O92" s="1" t="s">
        <v>29</v>
      </c>
      <c r="P92" s="1" t="s">
        <v>226</v>
      </c>
      <c r="Q92" s="1" t="s">
        <v>369</v>
      </c>
    </row>
    <row r="93" spans="1:17" ht="15.75" customHeight="1" x14ac:dyDescent="0.25">
      <c r="A93" s="1" t="s">
        <v>91</v>
      </c>
      <c r="B93" s="1" t="s">
        <v>18</v>
      </c>
      <c r="C93" s="1" t="s">
        <v>19</v>
      </c>
      <c r="D93" s="1" t="s">
        <v>20</v>
      </c>
      <c r="E93" s="1" t="s">
        <v>86</v>
      </c>
      <c r="F93" s="1" t="s">
        <v>22</v>
      </c>
      <c r="G93" s="1" t="s">
        <v>92</v>
      </c>
      <c r="H93" s="1" t="s">
        <v>93</v>
      </c>
      <c r="I93" s="1" t="s">
        <v>94</v>
      </c>
      <c r="J93" s="1" t="s">
        <v>26</v>
      </c>
      <c r="K93" s="1">
        <v>2023</v>
      </c>
      <c r="L93" s="1">
        <v>1</v>
      </c>
      <c r="M93" s="1" t="s">
        <v>89</v>
      </c>
      <c r="N93" s="1" t="s">
        <v>28</v>
      </c>
      <c r="O93" s="1" t="s">
        <v>29</v>
      </c>
      <c r="P93" s="1" t="s">
        <v>95</v>
      </c>
      <c r="Q93" s="1" t="s">
        <v>370</v>
      </c>
    </row>
    <row r="94" spans="1:17" ht="15.75" customHeight="1" x14ac:dyDescent="0.25">
      <c r="A94" s="1" t="s">
        <v>196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22</v>
      </c>
      <c r="G94" s="1" t="s">
        <v>23</v>
      </c>
      <c r="H94" s="1" t="s">
        <v>197</v>
      </c>
      <c r="I94" s="1" t="s">
        <v>198</v>
      </c>
      <c r="J94" s="1" t="s">
        <v>26</v>
      </c>
      <c r="K94" s="1">
        <v>2023</v>
      </c>
      <c r="L94" s="1">
        <v>1</v>
      </c>
      <c r="M94" s="1" t="s">
        <v>27</v>
      </c>
      <c r="N94" s="1" t="s">
        <v>28</v>
      </c>
      <c r="O94" s="1" t="s">
        <v>29</v>
      </c>
      <c r="P94" s="1" t="s">
        <v>30</v>
      </c>
      <c r="Q94" s="1" t="s">
        <v>371</v>
      </c>
    </row>
    <row r="95" spans="1:17" ht="15.75" customHeight="1" x14ac:dyDescent="0.25">
      <c r="A95" s="1" t="s">
        <v>85</v>
      </c>
      <c r="B95" s="1" t="s">
        <v>18</v>
      </c>
      <c r="C95" s="1" t="s">
        <v>19</v>
      </c>
      <c r="D95" s="1" t="s">
        <v>20</v>
      </c>
      <c r="E95" s="1" t="s">
        <v>21</v>
      </c>
      <c r="F95" s="1" t="s">
        <v>22</v>
      </c>
      <c r="G95" s="1" t="s">
        <v>61</v>
      </c>
      <c r="H95" s="1" t="s">
        <v>372</v>
      </c>
      <c r="I95" s="1" t="s">
        <v>373</v>
      </c>
      <c r="J95" s="1" t="s">
        <v>26</v>
      </c>
      <c r="K95" s="1">
        <v>2023</v>
      </c>
      <c r="L95" s="1">
        <v>1</v>
      </c>
      <c r="M95" s="1" t="s">
        <v>27</v>
      </c>
      <c r="N95" s="1" t="s">
        <v>28</v>
      </c>
      <c r="O95" s="1" t="s">
        <v>29</v>
      </c>
      <c r="P95" s="1" t="s">
        <v>65</v>
      </c>
      <c r="Q95" s="1" t="s">
        <v>374</v>
      </c>
    </row>
    <row r="96" spans="1:17" ht="15.75" customHeight="1" x14ac:dyDescent="0.25">
      <c r="A96" s="1" t="s">
        <v>375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22</v>
      </c>
      <c r="G96" s="1" t="s">
        <v>75</v>
      </c>
      <c r="H96" s="1" t="s">
        <v>376</v>
      </c>
      <c r="I96" s="1" t="s">
        <v>377</v>
      </c>
      <c r="J96" s="1" t="s">
        <v>26</v>
      </c>
      <c r="K96" s="1">
        <v>2023</v>
      </c>
      <c r="L96" s="1">
        <v>1</v>
      </c>
      <c r="M96" s="1" t="s">
        <v>27</v>
      </c>
      <c r="N96" s="1" t="s">
        <v>28</v>
      </c>
      <c r="O96" s="1" t="s">
        <v>29</v>
      </c>
      <c r="P96" s="1" t="s">
        <v>78</v>
      </c>
      <c r="Q96" s="1" t="s">
        <v>378</v>
      </c>
    </row>
    <row r="97" spans="1:17" ht="15.75" customHeight="1" x14ac:dyDescent="0.25">
      <c r="A97" s="1" t="s">
        <v>349</v>
      </c>
      <c r="B97" s="1" t="s">
        <v>18</v>
      </c>
      <c r="C97" s="1" t="s">
        <v>19</v>
      </c>
      <c r="D97" s="1" t="s">
        <v>20</v>
      </c>
      <c r="E97" s="1" t="s">
        <v>21</v>
      </c>
      <c r="F97" s="1" t="s">
        <v>22</v>
      </c>
      <c r="G97" s="1" t="s">
        <v>152</v>
      </c>
      <c r="H97" s="1" t="s">
        <v>379</v>
      </c>
      <c r="I97" s="1" t="s">
        <v>380</v>
      </c>
      <c r="J97" s="1" t="s">
        <v>26</v>
      </c>
      <c r="K97" s="1">
        <v>2023</v>
      </c>
      <c r="L97" s="1">
        <v>1</v>
      </c>
      <c r="M97" s="1" t="s">
        <v>27</v>
      </c>
      <c r="N97" s="1" t="s">
        <v>28</v>
      </c>
      <c r="O97" s="1" t="s">
        <v>29</v>
      </c>
      <c r="P97" s="1" t="s">
        <v>155</v>
      </c>
      <c r="Q97" s="1" t="s">
        <v>381</v>
      </c>
    </row>
    <row r="98" spans="1:17" ht="15.75" customHeight="1" x14ac:dyDescent="0.25">
      <c r="A98" s="1" t="s">
        <v>67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22</v>
      </c>
      <c r="G98" s="1" t="s">
        <v>382</v>
      </c>
      <c r="H98" s="1" t="s">
        <v>383</v>
      </c>
      <c r="I98" s="1" t="s">
        <v>384</v>
      </c>
      <c r="J98" s="1" t="s">
        <v>26</v>
      </c>
      <c r="K98" s="1">
        <v>2023</v>
      </c>
      <c r="L98" s="1">
        <v>1</v>
      </c>
      <c r="M98" s="1" t="s">
        <v>27</v>
      </c>
      <c r="N98" s="1" t="s">
        <v>28</v>
      </c>
      <c r="O98" s="1" t="s">
        <v>29</v>
      </c>
      <c r="P98" s="1" t="s">
        <v>385</v>
      </c>
      <c r="Q98" s="1" t="s">
        <v>386</v>
      </c>
    </row>
    <row r="99" spans="1:17" ht="15.75" customHeight="1" x14ac:dyDescent="0.25">
      <c r="A99" s="1" t="s">
        <v>48</v>
      </c>
      <c r="B99" s="1" t="s">
        <v>18</v>
      </c>
      <c r="C99" s="1" t="s">
        <v>19</v>
      </c>
      <c r="D99" s="1" t="s">
        <v>20</v>
      </c>
      <c r="E99" s="1" t="s">
        <v>21</v>
      </c>
      <c r="F99" s="1" t="s">
        <v>22</v>
      </c>
      <c r="G99" s="1" t="s">
        <v>49</v>
      </c>
      <c r="H99" s="1" t="s">
        <v>387</v>
      </c>
      <c r="I99" s="1" t="s">
        <v>388</v>
      </c>
      <c r="J99" s="1" t="s">
        <v>26</v>
      </c>
      <c r="K99" s="1">
        <v>2023</v>
      </c>
      <c r="L99" s="1">
        <v>1</v>
      </c>
      <c r="M99" s="1" t="s">
        <v>27</v>
      </c>
      <c r="N99" s="1" t="s">
        <v>28</v>
      </c>
      <c r="O99" s="1" t="s">
        <v>29</v>
      </c>
      <c r="P99" s="1" t="s">
        <v>52</v>
      </c>
      <c r="Q99" s="1" t="s">
        <v>389</v>
      </c>
    </row>
    <row r="100" spans="1:17" ht="15.75" customHeight="1" x14ac:dyDescent="0.25">
      <c r="A100" s="1" t="s">
        <v>291</v>
      </c>
      <c r="B100" s="1" t="s">
        <v>18</v>
      </c>
      <c r="C100" s="1" t="s">
        <v>19</v>
      </c>
      <c r="D100" s="1" t="s">
        <v>20</v>
      </c>
      <c r="E100" s="1" t="s">
        <v>21</v>
      </c>
      <c r="F100" s="1" t="s">
        <v>22</v>
      </c>
      <c r="G100" s="1" t="s">
        <v>167</v>
      </c>
      <c r="H100" s="1" t="s">
        <v>390</v>
      </c>
      <c r="I100" s="1" t="s">
        <v>391</v>
      </c>
      <c r="J100" s="1" t="s">
        <v>26</v>
      </c>
      <c r="K100" s="1">
        <v>2023</v>
      </c>
      <c r="L100" s="1">
        <v>1</v>
      </c>
      <c r="M100" s="1" t="s">
        <v>27</v>
      </c>
      <c r="N100" s="1" t="s">
        <v>28</v>
      </c>
      <c r="O100" s="1" t="s">
        <v>29</v>
      </c>
      <c r="P100" s="1" t="s">
        <v>170</v>
      </c>
      <c r="Q100" s="1" t="s">
        <v>392</v>
      </c>
    </row>
    <row r="101" spans="1:17" ht="15.75" customHeight="1" x14ac:dyDescent="0.25">
      <c r="A101" s="1" t="s">
        <v>222</v>
      </c>
      <c r="B101" s="1" t="s">
        <v>18</v>
      </c>
      <c r="C101" s="1" t="s">
        <v>19</v>
      </c>
      <c r="D101" s="1" t="s">
        <v>20</v>
      </c>
      <c r="E101" s="1" t="s">
        <v>86</v>
      </c>
      <c r="F101" s="1" t="s">
        <v>22</v>
      </c>
      <c r="G101" s="1" t="s">
        <v>223</v>
      </c>
      <c r="H101" s="1" t="s">
        <v>224</v>
      </c>
      <c r="I101" s="1" t="s">
        <v>225</v>
      </c>
      <c r="J101" s="1" t="s">
        <v>26</v>
      </c>
      <c r="K101" s="1">
        <v>2023</v>
      </c>
      <c r="L101" s="1">
        <v>2</v>
      </c>
      <c r="M101" s="1" t="s">
        <v>89</v>
      </c>
      <c r="N101" s="1" t="s">
        <v>28</v>
      </c>
      <c r="O101" s="1" t="s">
        <v>29</v>
      </c>
      <c r="P101" s="1" t="s">
        <v>226</v>
      </c>
      <c r="Q101" s="1" t="s">
        <v>393</v>
      </c>
    </row>
    <row r="102" spans="1:17" ht="15.75" customHeight="1" x14ac:dyDescent="0.25">
      <c r="A102" s="1" t="s">
        <v>97</v>
      </c>
      <c r="B102" s="1" t="s">
        <v>18</v>
      </c>
      <c r="C102" s="1" t="s">
        <v>19</v>
      </c>
      <c r="D102" s="1" t="s">
        <v>20</v>
      </c>
      <c r="E102" s="1" t="s">
        <v>86</v>
      </c>
      <c r="F102" s="1" t="s">
        <v>22</v>
      </c>
      <c r="G102" s="1" t="s">
        <v>98</v>
      </c>
      <c r="H102" s="1" t="s">
        <v>99</v>
      </c>
      <c r="I102" s="1" t="s">
        <v>100</v>
      </c>
      <c r="J102" s="1" t="s">
        <v>26</v>
      </c>
      <c r="K102" s="1">
        <v>2023</v>
      </c>
      <c r="L102" s="1">
        <v>2</v>
      </c>
      <c r="M102" s="1" t="s">
        <v>89</v>
      </c>
      <c r="N102" s="1" t="s">
        <v>28</v>
      </c>
      <c r="O102" s="1" t="s">
        <v>29</v>
      </c>
      <c r="P102" s="1" t="s">
        <v>101</v>
      </c>
      <c r="Q102" s="1" t="s">
        <v>394</v>
      </c>
    </row>
    <row r="103" spans="1:17" ht="15.75" customHeight="1" x14ac:dyDescent="0.25">
      <c r="A103" s="1" t="s">
        <v>395</v>
      </c>
      <c r="B103" s="1" t="s">
        <v>18</v>
      </c>
      <c r="C103" s="1" t="s">
        <v>19</v>
      </c>
      <c r="D103" s="1" t="s">
        <v>20</v>
      </c>
      <c r="E103" s="1" t="s">
        <v>86</v>
      </c>
      <c r="F103" s="1" t="s">
        <v>22</v>
      </c>
      <c r="G103" s="1" t="s">
        <v>186</v>
      </c>
      <c r="H103" s="1" t="s">
        <v>187</v>
      </c>
      <c r="I103" s="1" t="s">
        <v>188</v>
      </c>
      <c r="J103" s="1" t="s">
        <v>189</v>
      </c>
      <c r="K103" s="1">
        <v>2023</v>
      </c>
      <c r="L103" s="1">
        <v>2</v>
      </c>
      <c r="M103" s="1" t="s">
        <v>89</v>
      </c>
      <c r="N103" s="1" t="s">
        <v>28</v>
      </c>
      <c r="O103" s="1" t="s">
        <v>29</v>
      </c>
      <c r="P103" s="1" t="s">
        <v>190</v>
      </c>
      <c r="Q103" s="1" t="s">
        <v>396</v>
      </c>
    </row>
    <row r="104" spans="1:17" ht="15.75" customHeight="1" x14ac:dyDescent="0.25">
      <c r="A104" s="1" t="s">
        <v>200</v>
      </c>
      <c r="B104" s="1" t="s">
        <v>18</v>
      </c>
      <c r="C104" s="1" t="s">
        <v>19</v>
      </c>
      <c r="D104" s="1" t="s">
        <v>20</v>
      </c>
      <c r="E104" s="1" t="s">
        <v>21</v>
      </c>
      <c r="F104" s="1" t="s">
        <v>22</v>
      </c>
      <c r="G104" s="1" t="s">
        <v>201</v>
      </c>
      <c r="H104" s="1" t="s">
        <v>202</v>
      </c>
      <c r="I104" s="1" t="s">
        <v>203</v>
      </c>
      <c r="J104" s="1" t="s">
        <v>26</v>
      </c>
      <c r="K104" s="1">
        <v>2023</v>
      </c>
      <c r="L104" s="1">
        <v>2</v>
      </c>
      <c r="M104" s="1" t="s">
        <v>27</v>
      </c>
      <c r="N104" s="1" t="s">
        <v>28</v>
      </c>
      <c r="O104" s="1" t="s">
        <v>29</v>
      </c>
      <c r="P104" s="1" t="s">
        <v>204</v>
      </c>
      <c r="Q104" s="1" t="s">
        <v>397</v>
      </c>
    </row>
    <row r="105" spans="1:17" ht="15.75" customHeight="1" x14ac:dyDescent="0.25">
      <c r="A105" s="1" t="s">
        <v>398</v>
      </c>
      <c r="B105" s="1" t="s">
        <v>18</v>
      </c>
      <c r="C105" s="1" t="s">
        <v>19</v>
      </c>
      <c r="D105" s="1" t="s">
        <v>20</v>
      </c>
      <c r="E105" s="1" t="s">
        <v>21</v>
      </c>
      <c r="F105" s="1" t="s">
        <v>22</v>
      </c>
      <c r="G105" s="1" t="s">
        <v>75</v>
      </c>
      <c r="H105" s="1" t="s">
        <v>399</v>
      </c>
      <c r="I105" s="1" t="s">
        <v>400</v>
      </c>
      <c r="J105" s="1" t="s">
        <v>26</v>
      </c>
      <c r="K105" s="1">
        <v>2023</v>
      </c>
      <c r="L105" s="1">
        <v>2</v>
      </c>
      <c r="M105" s="1" t="s">
        <v>27</v>
      </c>
      <c r="N105" s="1" t="s">
        <v>28</v>
      </c>
      <c r="O105" s="1" t="s">
        <v>29</v>
      </c>
      <c r="P105" s="1" t="s">
        <v>78</v>
      </c>
      <c r="Q105" s="1" t="s">
        <v>401</v>
      </c>
    </row>
    <row r="106" spans="1:17" ht="15.75" customHeight="1" x14ac:dyDescent="0.25">
      <c r="A106" s="1" t="s">
        <v>375</v>
      </c>
      <c r="B106" s="1" t="s">
        <v>18</v>
      </c>
      <c r="C106" s="1" t="s">
        <v>19</v>
      </c>
      <c r="D106" s="1" t="s">
        <v>20</v>
      </c>
      <c r="E106" s="1" t="s">
        <v>21</v>
      </c>
      <c r="F106" s="1" t="s">
        <v>22</v>
      </c>
      <c r="G106" s="1" t="s">
        <v>75</v>
      </c>
      <c r="H106" s="1" t="s">
        <v>376</v>
      </c>
      <c r="I106" s="1" t="s">
        <v>377</v>
      </c>
      <c r="J106" s="1" t="s">
        <v>26</v>
      </c>
      <c r="K106" s="1">
        <v>2023</v>
      </c>
      <c r="L106" s="1">
        <v>2</v>
      </c>
      <c r="M106" s="1" t="s">
        <v>27</v>
      </c>
      <c r="N106" s="1" t="s">
        <v>28</v>
      </c>
      <c r="O106" s="1" t="s">
        <v>29</v>
      </c>
      <c r="P106" s="1" t="s">
        <v>78</v>
      </c>
      <c r="Q106" s="1" t="s">
        <v>402</v>
      </c>
    </row>
    <row r="107" spans="1:17" ht="15.75" customHeight="1" x14ac:dyDescent="0.25">
      <c r="A107" s="1" t="s">
        <v>38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39</v>
      </c>
      <c r="H107" s="1" t="s">
        <v>40</v>
      </c>
      <c r="I107" s="1" t="s">
        <v>41</v>
      </c>
      <c r="J107" s="1" t="s">
        <v>26</v>
      </c>
      <c r="K107" s="1">
        <v>2023</v>
      </c>
      <c r="L107" s="1">
        <v>2</v>
      </c>
      <c r="M107" s="1" t="s">
        <v>27</v>
      </c>
      <c r="N107" s="1" t="s">
        <v>28</v>
      </c>
      <c r="O107" s="1" t="s">
        <v>29</v>
      </c>
      <c r="P107" s="1" t="s">
        <v>42</v>
      </c>
      <c r="Q107" s="1" t="s">
        <v>403</v>
      </c>
    </row>
    <row r="108" spans="1:17" ht="15.75" customHeight="1" x14ac:dyDescent="0.25">
      <c r="A108" s="1" t="s">
        <v>103</v>
      </c>
      <c r="B108" s="1" t="s">
        <v>18</v>
      </c>
      <c r="C108" s="1" t="s">
        <v>19</v>
      </c>
      <c r="D108" s="1" t="s">
        <v>20</v>
      </c>
      <c r="E108" s="1" t="s">
        <v>21</v>
      </c>
      <c r="F108" s="1" t="s">
        <v>22</v>
      </c>
      <c r="G108" s="1" t="s">
        <v>104</v>
      </c>
      <c r="H108" s="1" t="s">
        <v>105</v>
      </c>
      <c r="I108" s="1" t="s">
        <v>106</v>
      </c>
      <c r="J108" s="1" t="s">
        <v>26</v>
      </c>
      <c r="K108" s="1">
        <v>2023</v>
      </c>
      <c r="L108" s="1">
        <v>2</v>
      </c>
      <c r="M108" s="1" t="s">
        <v>27</v>
      </c>
      <c r="N108" s="1" t="s">
        <v>28</v>
      </c>
      <c r="O108" s="1" t="s">
        <v>29</v>
      </c>
      <c r="P108" s="1" t="s">
        <v>107</v>
      </c>
      <c r="Q108" s="1" t="s">
        <v>404</v>
      </c>
    </row>
    <row r="109" spans="1:17" ht="15.75" customHeight="1" x14ac:dyDescent="0.25">
      <c r="A109" s="1" t="s">
        <v>405</v>
      </c>
      <c r="B109" s="1" t="s">
        <v>18</v>
      </c>
      <c r="C109" s="1" t="s">
        <v>19</v>
      </c>
      <c r="D109" s="1" t="s">
        <v>20</v>
      </c>
      <c r="E109" s="1" t="s">
        <v>21</v>
      </c>
      <c r="F109" s="1" t="s">
        <v>22</v>
      </c>
      <c r="G109" s="1" t="s">
        <v>104</v>
      </c>
      <c r="H109" s="1" t="s">
        <v>406</v>
      </c>
      <c r="I109" s="1" t="s">
        <v>407</v>
      </c>
      <c r="J109" s="1" t="s">
        <v>26</v>
      </c>
      <c r="K109" s="1">
        <v>2023</v>
      </c>
      <c r="L109" s="1">
        <v>2</v>
      </c>
      <c r="M109" s="1" t="s">
        <v>27</v>
      </c>
      <c r="N109" s="1" t="s">
        <v>28</v>
      </c>
      <c r="O109" s="1" t="s">
        <v>29</v>
      </c>
      <c r="P109" s="1" t="s">
        <v>107</v>
      </c>
      <c r="Q109" s="1" t="s">
        <v>408</v>
      </c>
    </row>
    <row r="110" spans="1:17" ht="15.75" customHeight="1" x14ac:dyDescent="0.25">
      <c r="A110" s="1" t="s">
        <v>216</v>
      </c>
      <c r="B110" s="1" t="s">
        <v>18</v>
      </c>
      <c r="C110" s="1" t="s">
        <v>19</v>
      </c>
      <c r="D110" s="1" t="s">
        <v>20</v>
      </c>
      <c r="E110" s="1" t="s">
        <v>21</v>
      </c>
      <c r="F110" s="1" t="s">
        <v>22</v>
      </c>
      <c r="G110" s="1" t="s">
        <v>217</v>
      </c>
      <c r="H110" s="1" t="s">
        <v>218</v>
      </c>
      <c r="I110" s="1" t="s">
        <v>219</v>
      </c>
      <c r="J110" s="1" t="s">
        <v>26</v>
      </c>
      <c r="K110" s="1">
        <v>2023</v>
      </c>
      <c r="L110" s="1">
        <v>2</v>
      </c>
      <c r="M110" s="1" t="s">
        <v>27</v>
      </c>
      <c r="N110" s="1" t="s">
        <v>28</v>
      </c>
      <c r="O110" s="1" t="s">
        <v>29</v>
      </c>
      <c r="P110" s="1" t="s">
        <v>220</v>
      </c>
      <c r="Q110" s="1" t="s">
        <v>409</v>
      </c>
    </row>
    <row r="111" spans="1:17" ht="15.75" customHeight="1" x14ac:dyDescent="0.25">
      <c r="A111" s="1" t="s">
        <v>291</v>
      </c>
      <c r="B111" s="1" t="s">
        <v>18</v>
      </c>
      <c r="C111" s="1" t="s">
        <v>19</v>
      </c>
      <c r="D111" s="1" t="s">
        <v>20</v>
      </c>
      <c r="E111" s="1" t="s">
        <v>21</v>
      </c>
      <c r="F111" s="1" t="s">
        <v>22</v>
      </c>
      <c r="G111" s="1" t="s">
        <v>167</v>
      </c>
      <c r="H111" s="1" t="s">
        <v>390</v>
      </c>
      <c r="I111" s="1" t="s">
        <v>391</v>
      </c>
      <c r="J111" s="1" t="s">
        <v>26</v>
      </c>
      <c r="K111" s="1">
        <v>2023</v>
      </c>
      <c r="L111" s="1">
        <v>2</v>
      </c>
      <c r="M111" s="1" t="s">
        <v>27</v>
      </c>
      <c r="N111" s="1" t="s">
        <v>28</v>
      </c>
      <c r="O111" s="1" t="s">
        <v>29</v>
      </c>
      <c r="P111" s="1" t="s">
        <v>170</v>
      </c>
      <c r="Q111" s="1" t="s">
        <v>410</v>
      </c>
    </row>
    <row r="112" spans="1:17" ht="15.75" customHeight="1" x14ac:dyDescent="0.25">
      <c r="A112" s="1" t="s">
        <v>411</v>
      </c>
      <c r="B112" s="1" t="s">
        <v>18</v>
      </c>
      <c r="C112" s="1" t="s">
        <v>19</v>
      </c>
      <c r="D112" s="1" t="s">
        <v>20</v>
      </c>
      <c r="E112" s="1" t="s">
        <v>86</v>
      </c>
      <c r="F112" s="1" t="s">
        <v>22</v>
      </c>
      <c r="G112" s="1" t="s">
        <v>223</v>
      </c>
      <c r="H112" s="1" t="s">
        <v>412</v>
      </c>
      <c r="I112" s="1" t="s">
        <v>413</v>
      </c>
      <c r="J112" s="1" t="s">
        <v>26</v>
      </c>
      <c r="K112" s="1">
        <v>2023</v>
      </c>
      <c r="L112" s="1">
        <v>3</v>
      </c>
      <c r="M112" s="1" t="s">
        <v>89</v>
      </c>
      <c r="N112" s="1" t="s">
        <v>28</v>
      </c>
      <c r="O112" s="1" t="s">
        <v>29</v>
      </c>
      <c r="P112" s="1" t="s">
        <v>226</v>
      </c>
      <c r="Q112" s="1" t="s">
        <v>414</v>
      </c>
    </row>
    <row r="113" spans="1:17" ht="15.75" customHeight="1" x14ac:dyDescent="0.25">
      <c r="A113" s="1" t="s">
        <v>415</v>
      </c>
      <c r="B113" s="1" t="s">
        <v>18</v>
      </c>
      <c r="C113" s="1" t="s">
        <v>19</v>
      </c>
      <c r="D113" s="1" t="s">
        <v>20</v>
      </c>
      <c r="E113" s="1" t="s">
        <v>86</v>
      </c>
      <c r="F113" s="1" t="s">
        <v>22</v>
      </c>
      <c r="G113" s="1" t="s">
        <v>186</v>
      </c>
      <c r="H113" s="1" t="s">
        <v>416</v>
      </c>
      <c r="I113" s="1" t="s">
        <v>417</v>
      </c>
      <c r="J113" s="1" t="s">
        <v>189</v>
      </c>
      <c r="K113" s="1">
        <v>2023</v>
      </c>
      <c r="L113" s="1">
        <v>3</v>
      </c>
      <c r="M113" s="1" t="s">
        <v>89</v>
      </c>
      <c r="N113" s="1" t="s">
        <v>28</v>
      </c>
      <c r="O113" s="1" t="s">
        <v>29</v>
      </c>
      <c r="P113" s="1" t="s">
        <v>190</v>
      </c>
      <c r="Q113" s="1" t="s">
        <v>418</v>
      </c>
    </row>
    <row r="114" spans="1:17" ht="15.75" customHeight="1" x14ac:dyDescent="0.25">
      <c r="A114" s="1" t="s">
        <v>38</v>
      </c>
      <c r="B114" s="1" t="s">
        <v>18</v>
      </c>
      <c r="C114" s="1" t="s">
        <v>19</v>
      </c>
      <c r="D114" s="1" t="s">
        <v>20</v>
      </c>
      <c r="E114" s="1" t="s">
        <v>21</v>
      </c>
      <c r="F114" s="1" t="s">
        <v>22</v>
      </c>
      <c r="G114" s="1" t="s">
        <v>39</v>
      </c>
      <c r="H114" s="1" t="s">
        <v>40</v>
      </c>
      <c r="I114" s="1" t="s">
        <v>41</v>
      </c>
      <c r="J114" s="1" t="s">
        <v>26</v>
      </c>
      <c r="K114" s="1">
        <v>2023</v>
      </c>
      <c r="L114" s="1">
        <v>3</v>
      </c>
      <c r="M114" s="1" t="s">
        <v>27</v>
      </c>
      <c r="N114" s="1" t="s">
        <v>28</v>
      </c>
      <c r="O114" s="1" t="s">
        <v>29</v>
      </c>
      <c r="P114" s="1" t="s">
        <v>42</v>
      </c>
      <c r="Q114" s="1" t="s">
        <v>419</v>
      </c>
    </row>
    <row r="115" spans="1:17" ht="15.75" customHeight="1" x14ac:dyDescent="0.25">
      <c r="A115" s="1" t="s">
        <v>252</v>
      </c>
      <c r="B115" s="1" t="s">
        <v>18</v>
      </c>
      <c r="C115" s="1" t="s">
        <v>19</v>
      </c>
      <c r="D115" s="1" t="s">
        <v>20</v>
      </c>
      <c r="E115" s="1" t="s">
        <v>21</v>
      </c>
      <c r="F115" s="1" t="s">
        <v>22</v>
      </c>
      <c r="G115" s="1" t="s">
        <v>167</v>
      </c>
      <c r="H115" s="1" t="s">
        <v>420</v>
      </c>
      <c r="I115" s="1" t="s">
        <v>421</v>
      </c>
      <c r="J115" s="1" t="s">
        <v>26</v>
      </c>
      <c r="K115" s="1">
        <v>2023</v>
      </c>
      <c r="L115" s="1">
        <v>3</v>
      </c>
      <c r="M115" s="1" t="s">
        <v>27</v>
      </c>
      <c r="N115" s="1" t="s">
        <v>28</v>
      </c>
      <c r="O115" s="1" t="s">
        <v>29</v>
      </c>
      <c r="P115" s="1" t="s">
        <v>170</v>
      </c>
      <c r="Q115" s="1" t="s">
        <v>422</v>
      </c>
    </row>
    <row r="116" spans="1:17" ht="15.75" customHeight="1" x14ac:dyDescent="0.25">
      <c r="A116" s="1" t="s">
        <v>411</v>
      </c>
      <c r="B116" s="1" t="s">
        <v>18</v>
      </c>
      <c r="C116" s="1" t="s">
        <v>19</v>
      </c>
      <c r="D116" s="1" t="s">
        <v>20</v>
      </c>
      <c r="E116" s="1" t="s">
        <v>86</v>
      </c>
      <c r="F116" s="1" t="s">
        <v>22</v>
      </c>
      <c r="G116" s="1" t="s">
        <v>223</v>
      </c>
      <c r="H116" s="1" t="s">
        <v>423</v>
      </c>
      <c r="I116" s="1" t="s">
        <v>424</v>
      </c>
      <c r="J116" s="1" t="s">
        <v>26</v>
      </c>
      <c r="K116" s="1">
        <v>2023</v>
      </c>
      <c r="L116" s="1">
        <v>4</v>
      </c>
      <c r="M116" s="1" t="s">
        <v>89</v>
      </c>
      <c r="N116" s="1" t="s">
        <v>28</v>
      </c>
      <c r="O116" s="1" t="s">
        <v>29</v>
      </c>
      <c r="P116" s="1" t="s">
        <v>226</v>
      </c>
      <c r="Q116" s="1" t="s">
        <v>425</v>
      </c>
    </row>
    <row r="117" spans="1:17" ht="15.75" customHeight="1" x14ac:dyDescent="0.25">
      <c r="A117" s="1" t="s">
        <v>411</v>
      </c>
      <c r="B117" s="1" t="s">
        <v>18</v>
      </c>
      <c r="C117" s="1" t="s">
        <v>19</v>
      </c>
      <c r="D117" s="1" t="s">
        <v>20</v>
      </c>
      <c r="E117" s="1" t="s">
        <v>86</v>
      </c>
      <c r="F117" s="1" t="s">
        <v>22</v>
      </c>
      <c r="G117" s="1" t="s">
        <v>223</v>
      </c>
      <c r="H117" s="1" t="s">
        <v>412</v>
      </c>
      <c r="I117" s="1" t="s">
        <v>413</v>
      </c>
      <c r="J117" s="1" t="s">
        <v>26</v>
      </c>
      <c r="K117" s="1">
        <v>2023</v>
      </c>
      <c r="L117" s="1">
        <v>4</v>
      </c>
      <c r="M117" s="1" t="s">
        <v>89</v>
      </c>
      <c r="N117" s="1" t="s">
        <v>28</v>
      </c>
      <c r="O117" s="1" t="s">
        <v>29</v>
      </c>
      <c r="P117" s="1" t="s">
        <v>226</v>
      </c>
      <c r="Q117" s="1" t="s">
        <v>426</v>
      </c>
    </row>
    <row r="118" spans="1:17" ht="15.75" customHeight="1" x14ac:dyDescent="0.25">
      <c r="A118" s="1" t="s">
        <v>228</v>
      </c>
      <c r="B118" s="1" t="s">
        <v>18</v>
      </c>
      <c r="C118" s="1" t="s">
        <v>19</v>
      </c>
      <c r="D118" s="1" t="s">
        <v>20</v>
      </c>
      <c r="E118" s="1" t="s">
        <v>86</v>
      </c>
      <c r="F118" s="1" t="s">
        <v>22</v>
      </c>
      <c r="G118" s="1" t="s">
        <v>223</v>
      </c>
      <c r="H118" s="1" t="s">
        <v>258</v>
      </c>
      <c r="I118" s="1" t="s">
        <v>259</v>
      </c>
      <c r="J118" s="1" t="s">
        <v>26</v>
      </c>
      <c r="K118" s="1">
        <v>2023</v>
      </c>
      <c r="L118" s="1">
        <v>4</v>
      </c>
      <c r="M118" s="1" t="s">
        <v>89</v>
      </c>
      <c r="N118" s="1" t="s">
        <v>28</v>
      </c>
      <c r="O118" s="1" t="s">
        <v>29</v>
      </c>
      <c r="P118" s="1" t="s">
        <v>226</v>
      </c>
      <c r="Q118" s="1" t="s">
        <v>427</v>
      </c>
    </row>
    <row r="119" spans="1:17" ht="15.75" customHeight="1" x14ac:dyDescent="0.25">
      <c r="A119" s="1" t="s">
        <v>91</v>
      </c>
      <c r="B119" s="1" t="s">
        <v>18</v>
      </c>
      <c r="C119" s="1" t="s">
        <v>19</v>
      </c>
      <c r="D119" s="1" t="s">
        <v>20</v>
      </c>
      <c r="E119" s="1" t="s">
        <v>86</v>
      </c>
      <c r="F119" s="1" t="s">
        <v>22</v>
      </c>
      <c r="G119" s="1" t="s">
        <v>92</v>
      </c>
      <c r="H119" s="1" t="s">
        <v>93</v>
      </c>
      <c r="I119" s="1" t="s">
        <v>94</v>
      </c>
      <c r="J119" s="1" t="s">
        <v>26</v>
      </c>
      <c r="K119" s="1">
        <v>2023</v>
      </c>
      <c r="L119" s="1">
        <v>4</v>
      </c>
      <c r="M119" s="1" t="s">
        <v>89</v>
      </c>
      <c r="N119" s="1" t="s">
        <v>28</v>
      </c>
      <c r="O119" s="1" t="s">
        <v>29</v>
      </c>
      <c r="P119" s="1" t="s">
        <v>95</v>
      </c>
      <c r="Q119" s="1" t="s">
        <v>428</v>
      </c>
    </row>
    <row r="120" spans="1:17" ht="15.75" customHeight="1" x14ac:dyDescent="0.25">
      <c r="A120" s="1" t="s">
        <v>97</v>
      </c>
      <c r="B120" s="1" t="s">
        <v>18</v>
      </c>
      <c r="C120" s="1" t="s">
        <v>19</v>
      </c>
      <c r="D120" s="1" t="s">
        <v>20</v>
      </c>
      <c r="E120" s="1" t="s">
        <v>86</v>
      </c>
      <c r="F120" s="1" t="s">
        <v>22</v>
      </c>
      <c r="G120" s="1" t="s">
        <v>98</v>
      </c>
      <c r="H120" s="1" t="s">
        <v>99</v>
      </c>
      <c r="I120" s="1" t="s">
        <v>100</v>
      </c>
      <c r="J120" s="1" t="s">
        <v>26</v>
      </c>
      <c r="K120" s="1">
        <v>2023</v>
      </c>
      <c r="L120" s="1">
        <v>4</v>
      </c>
      <c r="M120" s="1" t="s">
        <v>89</v>
      </c>
      <c r="N120" s="1" t="s">
        <v>28</v>
      </c>
      <c r="O120" s="1" t="s">
        <v>29</v>
      </c>
      <c r="P120" s="1" t="s">
        <v>101</v>
      </c>
      <c r="Q120" s="1" t="s">
        <v>429</v>
      </c>
    </row>
    <row r="121" spans="1:17" ht="15.75" customHeight="1" x14ac:dyDescent="0.25">
      <c r="A121" s="1" t="s">
        <v>375</v>
      </c>
      <c r="B121" s="1" t="s">
        <v>18</v>
      </c>
      <c r="C121" s="1" t="s">
        <v>19</v>
      </c>
      <c r="D121" s="1" t="s">
        <v>20</v>
      </c>
      <c r="E121" s="1" t="s">
        <v>21</v>
      </c>
      <c r="F121" s="1" t="s">
        <v>22</v>
      </c>
      <c r="G121" s="1" t="s">
        <v>75</v>
      </c>
      <c r="H121" s="1" t="s">
        <v>376</v>
      </c>
      <c r="I121" s="1" t="s">
        <v>377</v>
      </c>
      <c r="J121" s="1" t="s">
        <v>26</v>
      </c>
      <c r="K121" s="1">
        <v>2023</v>
      </c>
      <c r="L121" s="1">
        <v>4</v>
      </c>
      <c r="M121" s="1" t="s">
        <v>27</v>
      </c>
      <c r="N121" s="1" t="s">
        <v>28</v>
      </c>
      <c r="O121" s="1" t="s">
        <v>29</v>
      </c>
      <c r="P121" s="1" t="s">
        <v>78</v>
      </c>
      <c r="Q121" s="1" t="s">
        <v>430</v>
      </c>
    </row>
    <row r="122" spans="1:17" ht="15.75" customHeight="1" x14ac:dyDescent="0.25">
      <c r="A122" s="1" t="s">
        <v>212</v>
      </c>
      <c r="B122" s="1" t="s">
        <v>18</v>
      </c>
      <c r="C122" s="1" t="s">
        <v>19</v>
      </c>
      <c r="D122" s="1" t="s">
        <v>20</v>
      </c>
      <c r="E122" s="1" t="s">
        <v>21</v>
      </c>
      <c r="F122" s="1" t="s">
        <v>22</v>
      </c>
      <c r="G122" s="1" t="s">
        <v>39</v>
      </c>
      <c r="H122" s="1" t="s">
        <v>213</v>
      </c>
      <c r="I122" s="1" t="s">
        <v>214</v>
      </c>
      <c r="J122" s="1" t="s">
        <v>26</v>
      </c>
      <c r="K122" s="1">
        <v>2023</v>
      </c>
      <c r="L122" s="1">
        <v>4</v>
      </c>
      <c r="M122" s="1" t="s">
        <v>27</v>
      </c>
      <c r="N122" s="1" t="s">
        <v>28</v>
      </c>
      <c r="O122" s="1" t="s">
        <v>29</v>
      </c>
      <c r="P122" s="1" t="s">
        <v>42</v>
      </c>
      <c r="Q122" s="1" t="s">
        <v>431</v>
      </c>
    </row>
    <row r="123" spans="1:17" ht="15.75" customHeight="1" x14ac:dyDescent="0.25">
      <c r="A123" s="1" t="s">
        <v>54</v>
      </c>
      <c r="B123" s="1" t="s">
        <v>18</v>
      </c>
      <c r="C123" s="1" t="s">
        <v>19</v>
      </c>
      <c r="D123" s="1" t="s">
        <v>20</v>
      </c>
      <c r="E123" s="1" t="s">
        <v>21</v>
      </c>
      <c r="F123" s="1" t="s">
        <v>22</v>
      </c>
      <c r="G123" s="1" t="s">
        <v>39</v>
      </c>
      <c r="H123" s="1" t="s">
        <v>432</v>
      </c>
      <c r="I123" s="1" t="s">
        <v>433</v>
      </c>
      <c r="J123" s="1" t="s">
        <v>26</v>
      </c>
      <c r="K123" s="1">
        <v>2023</v>
      </c>
      <c r="L123" s="1">
        <v>4</v>
      </c>
      <c r="M123" s="1" t="s">
        <v>27</v>
      </c>
      <c r="N123" s="1" t="s">
        <v>28</v>
      </c>
      <c r="O123" s="1" t="s">
        <v>29</v>
      </c>
      <c r="P123" s="1" t="s">
        <v>42</v>
      </c>
      <c r="Q123" s="1" t="s">
        <v>434</v>
      </c>
    </row>
    <row r="124" spans="1:17" ht="15.75" customHeight="1" x14ac:dyDescent="0.25">
      <c r="A124" s="1" t="s">
        <v>313</v>
      </c>
      <c r="B124" s="1" t="s">
        <v>18</v>
      </c>
      <c r="C124" s="1" t="s">
        <v>19</v>
      </c>
      <c r="D124" s="1" t="s">
        <v>20</v>
      </c>
      <c r="E124" s="1" t="s">
        <v>21</v>
      </c>
      <c r="F124" s="1" t="s">
        <v>22</v>
      </c>
      <c r="G124" s="1" t="s">
        <v>314</v>
      </c>
      <c r="H124" s="1" t="s">
        <v>315</v>
      </c>
      <c r="I124" s="1" t="s">
        <v>316</v>
      </c>
      <c r="J124" s="1" t="s">
        <v>26</v>
      </c>
      <c r="K124" s="1">
        <v>2023</v>
      </c>
      <c r="L124" s="1">
        <v>4</v>
      </c>
      <c r="M124" s="1" t="s">
        <v>27</v>
      </c>
      <c r="N124" s="1" t="s">
        <v>28</v>
      </c>
      <c r="O124" s="1" t="s">
        <v>29</v>
      </c>
      <c r="P124" s="1" t="s">
        <v>317</v>
      </c>
      <c r="Q124" s="1" t="s">
        <v>435</v>
      </c>
    </row>
    <row r="125" spans="1:17" ht="15.75" customHeight="1" x14ac:dyDescent="0.25">
      <c r="A125" s="1" t="s">
        <v>349</v>
      </c>
      <c r="B125" s="1" t="s">
        <v>18</v>
      </c>
      <c r="C125" s="1" t="s">
        <v>19</v>
      </c>
      <c r="D125" s="1" t="s">
        <v>20</v>
      </c>
      <c r="E125" s="1" t="s">
        <v>21</v>
      </c>
      <c r="F125" s="1" t="s">
        <v>22</v>
      </c>
      <c r="G125" s="1" t="s">
        <v>152</v>
      </c>
      <c r="H125" s="1" t="s">
        <v>436</v>
      </c>
      <c r="I125" s="1" t="s">
        <v>437</v>
      </c>
      <c r="J125" s="1" t="s">
        <v>26</v>
      </c>
      <c r="K125" s="1">
        <v>2023</v>
      </c>
      <c r="L125" s="1">
        <v>4</v>
      </c>
      <c r="M125" s="1" t="s">
        <v>27</v>
      </c>
      <c r="N125" s="1" t="s">
        <v>28</v>
      </c>
      <c r="O125" s="1" t="s">
        <v>29</v>
      </c>
      <c r="P125" s="1" t="s">
        <v>155</v>
      </c>
      <c r="Q125" s="1" t="s">
        <v>438</v>
      </c>
    </row>
    <row r="126" spans="1:17" ht="15.75" customHeight="1" x14ac:dyDescent="0.25">
      <c r="A126" s="1" t="s">
        <v>246</v>
      </c>
      <c r="B126" s="1" t="s">
        <v>18</v>
      </c>
      <c r="C126" s="1" t="s">
        <v>19</v>
      </c>
      <c r="D126" s="1" t="s">
        <v>20</v>
      </c>
      <c r="E126" s="1" t="s">
        <v>21</v>
      </c>
      <c r="F126" s="1" t="s">
        <v>22</v>
      </c>
      <c r="G126" s="1" t="s">
        <v>152</v>
      </c>
      <c r="H126" s="1" t="s">
        <v>247</v>
      </c>
      <c r="I126" s="1" t="s">
        <v>248</v>
      </c>
      <c r="J126" s="1" t="s">
        <v>26</v>
      </c>
      <c r="K126" s="1">
        <v>2023</v>
      </c>
      <c r="L126" s="1">
        <v>4</v>
      </c>
      <c r="M126" s="1" t="s">
        <v>27</v>
      </c>
      <c r="N126" s="1" t="s">
        <v>28</v>
      </c>
      <c r="O126" s="1" t="s">
        <v>29</v>
      </c>
      <c r="P126" s="1" t="s">
        <v>155</v>
      </c>
      <c r="Q126" s="1" t="s">
        <v>439</v>
      </c>
    </row>
    <row r="127" spans="1:17" ht="15.75" customHeight="1" x14ac:dyDescent="0.25">
      <c r="A127" s="1" t="s">
        <v>291</v>
      </c>
      <c r="B127" s="1" t="s">
        <v>18</v>
      </c>
      <c r="C127" s="1" t="s">
        <v>19</v>
      </c>
      <c r="D127" s="1" t="s">
        <v>20</v>
      </c>
      <c r="E127" s="1" t="s">
        <v>21</v>
      </c>
      <c r="F127" s="1" t="s">
        <v>22</v>
      </c>
      <c r="G127" s="1" t="s">
        <v>167</v>
      </c>
      <c r="H127" s="1" t="s">
        <v>390</v>
      </c>
      <c r="I127" s="1" t="s">
        <v>391</v>
      </c>
      <c r="J127" s="1" t="s">
        <v>26</v>
      </c>
      <c r="K127" s="1">
        <v>2023</v>
      </c>
      <c r="L127" s="1">
        <v>4</v>
      </c>
      <c r="M127" s="1" t="s">
        <v>27</v>
      </c>
      <c r="N127" s="1" t="s">
        <v>28</v>
      </c>
      <c r="O127" s="1" t="s">
        <v>29</v>
      </c>
      <c r="P127" s="1" t="s">
        <v>170</v>
      </c>
      <c r="Q127" s="1" t="s">
        <v>440</v>
      </c>
    </row>
    <row r="128" spans="1:17" ht="15.75" customHeight="1" x14ac:dyDescent="0.25">
      <c r="A128" s="1" t="s">
        <v>222</v>
      </c>
      <c r="B128" s="1" t="s">
        <v>18</v>
      </c>
      <c r="C128" s="1" t="s">
        <v>19</v>
      </c>
      <c r="D128" s="1" t="s">
        <v>20</v>
      </c>
      <c r="E128" s="1" t="s">
        <v>86</v>
      </c>
      <c r="F128" s="1" t="s">
        <v>22</v>
      </c>
      <c r="G128" s="1" t="s">
        <v>223</v>
      </c>
      <c r="H128" s="1" t="s">
        <v>224</v>
      </c>
      <c r="I128" s="1" t="s">
        <v>225</v>
      </c>
      <c r="J128" s="1" t="s">
        <v>26</v>
      </c>
      <c r="K128" s="1">
        <v>2023</v>
      </c>
      <c r="L128" s="1">
        <v>5</v>
      </c>
      <c r="M128" s="1" t="s">
        <v>89</v>
      </c>
      <c r="N128" s="1" t="s">
        <v>28</v>
      </c>
      <c r="O128" s="1" t="s">
        <v>29</v>
      </c>
      <c r="P128" s="1" t="s">
        <v>226</v>
      </c>
      <c r="Q128" s="1" t="s">
        <v>441</v>
      </c>
    </row>
    <row r="129" spans="1:17" ht="15.75" customHeight="1" x14ac:dyDescent="0.25">
      <c r="A129" s="1" t="s">
        <v>308</v>
      </c>
      <c r="B129" s="1" t="s">
        <v>18</v>
      </c>
      <c r="C129" s="1" t="s">
        <v>19</v>
      </c>
      <c r="D129" s="1" t="s">
        <v>20</v>
      </c>
      <c r="E129" s="1" t="s">
        <v>21</v>
      </c>
      <c r="F129" s="1" t="s">
        <v>22</v>
      </c>
      <c r="G129" s="1" t="s">
        <v>267</v>
      </c>
      <c r="H129" s="1" t="s">
        <v>309</v>
      </c>
      <c r="I129" s="1" t="s">
        <v>310</v>
      </c>
      <c r="J129" s="1" t="s">
        <v>26</v>
      </c>
      <c r="K129" s="1">
        <v>2023</v>
      </c>
      <c r="L129" s="1">
        <v>5</v>
      </c>
      <c r="M129" s="1" t="s">
        <v>27</v>
      </c>
      <c r="N129" s="1" t="s">
        <v>28</v>
      </c>
      <c r="O129" s="1" t="s">
        <v>29</v>
      </c>
      <c r="P129" s="1" t="s">
        <v>270</v>
      </c>
      <c r="Q129" s="1" t="s">
        <v>442</v>
      </c>
    </row>
    <row r="130" spans="1:17" ht="15.75" customHeight="1" x14ac:dyDescent="0.25">
      <c r="A130" s="1" t="s">
        <v>266</v>
      </c>
      <c r="B130" s="1" t="s">
        <v>18</v>
      </c>
      <c r="C130" s="1" t="s">
        <v>19</v>
      </c>
      <c r="D130" s="1" t="s">
        <v>20</v>
      </c>
      <c r="E130" s="1" t="s">
        <v>21</v>
      </c>
      <c r="F130" s="1" t="s">
        <v>22</v>
      </c>
      <c r="G130" s="1" t="s">
        <v>267</v>
      </c>
      <c r="H130" s="1" t="s">
        <v>268</v>
      </c>
      <c r="I130" s="1" t="s">
        <v>269</v>
      </c>
      <c r="J130" s="1" t="s">
        <v>26</v>
      </c>
      <c r="K130" s="1">
        <v>2023</v>
      </c>
      <c r="L130" s="1">
        <v>5</v>
      </c>
      <c r="M130" s="1" t="s">
        <v>27</v>
      </c>
      <c r="N130" s="1" t="s">
        <v>28</v>
      </c>
      <c r="O130" s="1" t="s">
        <v>29</v>
      </c>
      <c r="P130" s="1" t="s">
        <v>270</v>
      </c>
      <c r="Q130" s="1" t="s">
        <v>443</v>
      </c>
    </row>
    <row r="131" spans="1:17" ht="15.75" customHeight="1" x14ac:dyDescent="0.25">
      <c r="A131" s="1" t="s">
        <v>54</v>
      </c>
      <c r="B131" s="1" t="s">
        <v>18</v>
      </c>
      <c r="C131" s="1" t="s">
        <v>19</v>
      </c>
      <c r="D131" s="1" t="s">
        <v>20</v>
      </c>
      <c r="E131" s="1" t="s">
        <v>21</v>
      </c>
      <c r="F131" s="1" t="s">
        <v>22</v>
      </c>
      <c r="G131" s="1" t="s">
        <v>39</v>
      </c>
      <c r="H131" s="1" t="s">
        <v>287</v>
      </c>
      <c r="I131" s="1" t="s">
        <v>288</v>
      </c>
      <c r="J131" s="1" t="s">
        <v>26</v>
      </c>
      <c r="K131" s="1">
        <v>2023</v>
      </c>
      <c r="L131" s="1">
        <v>5</v>
      </c>
      <c r="M131" s="1" t="s">
        <v>27</v>
      </c>
      <c r="N131" s="1" t="s">
        <v>28</v>
      </c>
      <c r="O131" s="1" t="s">
        <v>29</v>
      </c>
      <c r="P131" s="1" t="s">
        <v>42</v>
      </c>
      <c r="Q131" s="1" t="s">
        <v>444</v>
      </c>
    </row>
    <row r="132" spans="1:17" ht="15.75" customHeight="1" x14ac:dyDescent="0.25">
      <c r="A132" s="1" t="s">
        <v>103</v>
      </c>
      <c r="B132" s="1" t="s">
        <v>18</v>
      </c>
      <c r="C132" s="1" t="s">
        <v>19</v>
      </c>
      <c r="D132" s="1" t="s">
        <v>20</v>
      </c>
      <c r="E132" s="1" t="s">
        <v>21</v>
      </c>
      <c r="F132" s="1" t="s">
        <v>22</v>
      </c>
      <c r="G132" s="1" t="s">
        <v>104</v>
      </c>
      <c r="H132" s="1" t="s">
        <v>105</v>
      </c>
      <c r="I132" s="1" t="s">
        <v>106</v>
      </c>
      <c r="J132" s="1" t="s">
        <v>26</v>
      </c>
      <c r="K132" s="1">
        <v>2023</v>
      </c>
      <c r="L132" s="1">
        <v>5</v>
      </c>
      <c r="M132" s="1" t="s">
        <v>27</v>
      </c>
      <c r="N132" s="1" t="s">
        <v>28</v>
      </c>
      <c r="O132" s="1" t="s">
        <v>29</v>
      </c>
      <c r="P132" s="1" t="s">
        <v>107</v>
      </c>
      <c r="Q132" s="1" t="s">
        <v>445</v>
      </c>
    </row>
    <row r="133" spans="1:17" ht="15.75" customHeight="1" x14ac:dyDescent="0.25">
      <c r="A133" s="1" t="s">
        <v>109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22</v>
      </c>
      <c r="G133" s="1" t="s">
        <v>110</v>
      </c>
      <c r="H133" s="2" t="s">
        <v>111</v>
      </c>
      <c r="I133" s="2" t="s">
        <v>112</v>
      </c>
      <c r="J133" s="1" t="s">
        <v>26</v>
      </c>
      <c r="K133" s="1">
        <v>2023</v>
      </c>
      <c r="L133" s="1">
        <v>5</v>
      </c>
      <c r="M133" s="1" t="s">
        <v>27</v>
      </c>
      <c r="N133" s="1" t="s">
        <v>28</v>
      </c>
      <c r="O133" s="1" t="s">
        <v>29</v>
      </c>
      <c r="P133" s="1" t="s">
        <v>113</v>
      </c>
      <c r="Q133" s="2" t="s">
        <v>446</v>
      </c>
    </row>
    <row r="134" spans="1:17" ht="15.75" customHeight="1" x14ac:dyDescent="0.25">
      <c r="A134" s="1" t="s">
        <v>252</v>
      </c>
      <c r="B134" s="1" t="s">
        <v>18</v>
      </c>
      <c r="C134" s="1" t="s">
        <v>19</v>
      </c>
      <c r="D134" s="1" t="s">
        <v>20</v>
      </c>
      <c r="E134" s="1" t="s">
        <v>21</v>
      </c>
      <c r="F134" s="1" t="s">
        <v>22</v>
      </c>
      <c r="G134" s="1" t="s">
        <v>167</v>
      </c>
      <c r="H134" s="1" t="s">
        <v>420</v>
      </c>
      <c r="I134" s="1" t="s">
        <v>421</v>
      </c>
      <c r="J134" s="1" t="s">
        <v>26</v>
      </c>
      <c r="K134" s="1">
        <v>2023</v>
      </c>
      <c r="L134" s="1">
        <v>5</v>
      </c>
      <c r="M134" s="1" t="s">
        <v>27</v>
      </c>
      <c r="N134" s="1" t="s">
        <v>28</v>
      </c>
      <c r="O134" s="1" t="s">
        <v>29</v>
      </c>
      <c r="P134" s="1" t="s">
        <v>170</v>
      </c>
      <c r="Q134" s="1" t="s">
        <v>447</v>
      </c>
    </row>
    <row r="135" spans="1:17" ht="15.75" customHeight="1" x14ac:dyDescent="0.25">
      <c r="A135" s="1" t="s">
        <v>411</v>
      </c>
      <c r="B135" s="1" t="s">
        <v>18</v>
      </c>
      <c r="C135" s="1" t="s">
        <v>19</v>
      </c>
      <c r="D135" s="1" t="s">
        <v>20</v>
      </c>
      <c r="E135" s="1" t="s">
        <v>86</v>
      </c>
      <c r="F135" s="1" t="s">
        <v>22</v>
      </c>
      <c r="G135" s="1" t="s">
        <v>223</v>
      </c>
      <c r="H135" s="1" t="s">
        <v>423</v>
      </c>
      <c r="I135" s="1" t="s">
        <v>448</v>
      </c>
      <c r="J135" s="1" t="s">
        <v>26</v>
      </c>
      <c r="K135" s="1">
        <v>2023</v>
      </c>
      <c r="L135" s="1">
        <v>6</v>
      </c>
      <c r="M135" s="1" t="s">
        <v>89</v>
      </c>
      <c r="N135" s="1" t="s">
        <v>28</v>
      </c>
      <c r="O135" s="1" t="s">
        <v>29</v>
      </c>
      <c r="P135" s="1" t="s">
        <v>226</v>
      </c>
      <c r="Q135" s="1" t="s">
        <v>449</v>
      </c>
    </row>
    <row r="136" spans="1:17" ht="15.75" customHeight="1" x14ac:dyDescent="0.25">
      <c r="A136" s="1" t="s">
        <v>91</v>
      </c>
      <c r="B136" s="1" t="s">
        <v>18</v>
      </c>
      <c r="C136" s="1" t="s">
        <v>19</v>
      </c>
      <c r="D136" s="1" t="s">
        <v>20</v>
      </c>
      <c r="E136" s="1" t="s">
        <v>86</v>
      </c>
      <c r="F136" s="1" t="s">
        <v>22</v>
      </c>
      <c r="G136" s="1" t="s">
        <v>92</v>
      </c>
      <c r="H136" s="1" t="s">
        <v>93</v>
      </c>
      <c r="I136" s="1" t="s">
        <v>94</v>
      </c>
      <c r="J136" s="1" t="s">
        <v>26</v>
      </c>
      <c r="K136" s="1">
        <v>2023</v>
      </c>
      <c r="L136" s="1">
        <v>6</v>
      </c>
      <c r="M136" s="1" t="s">
        <v>89</v>
      </c>
      <c r="N136" s="1" t="s">
        <v>28</v>
      </c>
      <c r="O136" s="1" t="s">
        <v>29</v>
      </c>
      <c r="P136" s="1" t="s">
        <v>95</v>
      </c>
      <c r="Q136" s="1" t="s">
        <v>450</v>
      </c>
    </row>
    <row r="137" spans="1:17" ht="15.75" customHeight="1" x14ac:dyDescent="0.25">
      <c r="A137" s="1" t="s">
        <v>97</v>
      </c>
      <c r="B137" s="1" t="s">
        <v>18</v>
      </c>
      <c r="C137" s="1" t="s">
        <v>19</v>
      </c>
      <c r="D137" s="1" t="s">
        <v>20</v>
      </c>
      <c r="E137" s="1" t="s">
        <v>86</v>
      </c>
      <c r="F137" s="1" t="s">
        <v>22</v>
      </c>
      <c r="G137" s="1" t="s">
        <v>98</v>
      </c>
      <c r="H137" s="1" t="s">
        <v>99</v>
      </c>
      <c r="I137" s="1" t="s">
        <v>100</v>
      </c>
      <c r="J137" s="1" t="s">
        <v>26</v>
      </c>
      <c r="K137" s="1">
        <v>2023</v>
      </c>
      <c r="L137" s="1">
        <v>6</v>
      </c>
      <c r="M137" s="1" t="s">
        <v>89</v>
      </c>
      <c r="N137" s="1" t="s">
        <v>28</v>
      </c>
      <c r="O137" s="1" t="s">
        <v>29</v>
      </c>
      <c r="P137" s="1" t="s">
        <v>101</v>
      </c>
      <c r="Q137" s="1" t="s">
        <v>451</v>
      </c>
    </row>
    <row r="138" spans="1:17" ht="15.75" customHeight="1" x14ac:dyDescent="0.25">
      <c r="A138" s="1" t="s">
        <v>85</v>
      </c>
      <c r="B138" s="1" t="s">
        <v>18</v>
      </c>
      <c r="C138" s="1" t="s">
        <v>19</v>
      </c>
      <c r="D138" s="1" t="s">
        <v>20</v>
      </c>
      <c r="E138" s="1" t="s">
        <v>21</v>
      </c>
      <c r="F138" s="1" t="s">
        <v>22</v>
      </c>
      <c r="G138" s="1" t="s">
        <v>61</v>
      </c>
      <c r="H138" s="1" t="s">
        <v>452</v>
      </c>
      <c r="I138" s="1" t="s">
        <v>453</v>
      </c>
      <c r="J138" s="1" t="s">
        <v>26</v>
      </c>
      <c r="K138" s="1">
        <v>2023</v>
      </c>
      <c r="L138" s="1">
        <v>6</v>
      </c>
      <c r="M138" s="1" t="s">
        <v>27</v>
      </c>
      <c r="N138" s="1" t="s">
        <v>28</v>
      </c>
      <c r="O138" s="1" t="s">
        <v>29</v>
      </c>
      <c r="P138" s="1" t="s">
        <v>65</v>
      </c>
      <c r="Q138" s="1" t="s">
        <v>454</v>
      </c>
    </row>
    <row r="139" spans="1:17" ht="15.75" customHeight="1" x14ac:dyDescent="0.25">
      <c r="A139" s="1" t="s">
        <v>313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22</v>
      </c>
      <c r="G139" s="1" t="s">
        <v>314</v>
      </c>
      <c r="H139" s="1" t="s">
        <v>455</v>
      </c>
      <c r="I139" s="1" t="s">
        <v>456</v>
      </c>
      <c r="J139" s="1" t="s">
        <v>26</v>
      </c>
      <c r="K139" s="1">
        <v>2023</v>
      </c>
      <c r="L139" s="1">
        <v>6</v>
      </c>
      <c r="M139" s="1" t="s">
        <v>27</v>
      </c>
      <c r="N139" s="1" t="s">
        <v>28</v>
      </c>
      <c r="O139" s="1" t="s">
        <v>29</v>
      </c>
      <c r="P139" s="1" t="s">
        <v>317</v>
      </c>
      <c r="Q139" s="1" t="s">
        <v>457</v>
      </c>
    </row>
    <row r="140" spans="1:17" ht="15.75" customHeight="1" x14ac:dyDescent="0.25">
      <c r="A140" s="1" t="s">
        <v>458</v>
      </c>
      <c r="B140" s="1" t="s">
        <v>18</v>
      </c>
      <c r="C140" s="1" t="s">
        <v>19</v>
      </c>
      <c r="D140" s="1" t="s">
        <v>20</v>
      </c>
      <c r="E140" s="1" t="s">
        <v>21</v>
      </c>
      <c r="F140" s="1" t="s">
        <v>22</v>
      </c>
      <c r="G140" s="1" t="s">
        <v>49</v>
      </c>
      <c r="H140" s="1" t="s">
        <v>50</v>
      </c>
      <c r="I140" s="1" t="s">
        <v>51</v>
      </c>
      <c r="J140" s="1" t="s">
        <v>26</v>
      </c>
      <c r="K140" s="1">
        <v>2023</v>
      </c>
      <c r="L140" s="1">
        <v>6</v>
      </c>
      <c r="M140" s="1" t="s">
        <v>27</v>
      </c>
      <c r="N140" s="1" t="s">
        <v>28</v>
      </c>
      <c r="O140" s="1" t="s">
        <v>29</v>
      </c>
      <c r="P140" s="1" t="s">
        <v>52</v>
      </c>
      <c r="Q140" s="1" t="s">
        <v>459</v>
      </c>
    </row>
    <row r="141" spans="1:17" ht="15.75" customHeight="1" x14ac:dyDescent="0.25">
      <c r="A141" s="1" t="s">
        <v>252</v>
      </c>
      <c r="B141" s="1" t="s">
        <v>18</v>
      </c>
      <c r="C141" s="1" t="s">
        <v>19</v>
      </c>
      <c r="D141" s="1" t="s">
        <v>20</v>
      </c>
      <c r="E141" s="1" t="s">
        <v>21</v>
      </c>
      <c r="F141" s="1" t="s">
        <v>22</v>
      </c>
      <c r="G141" s="1" t="s">
        <v>167</v>
      </c>
      <c r="H141" s="1" t="s">
        <v>420</v>
      </c>
      <c r="I141" s="1" t="s">
        <v>421</v>
      </c>
      <c r="J141" s="1" t="s">
        <v>26</v>
      </c>
      <c r="K141" s="1">
        <v>2023</v>
      </c>
      <c r="L141" s="1">
        <v>6</v>
      </c>
      <c r="M141" s="1" t="s">
        <v>27</v>
      </c>
      <c r="N141" s="1" t="s">
        <v>28</v>
      </c>
      <c r="O141" s="1" t="s">
        <v>29</v>
      </c>
      <c r="P141" s="1" t="s">
        <v>170</v>
      </c>
      <c r="Q141" s="1" t="s">
        <v>460</v>
      </c>
    </row>
    <row r="142" spans="1:17" ht="15.75" customHeight="1" x14ac:dyDescent="0.25">
      <c r="A142" s="1" t="s">
        <v>411</v>
      </c>
      <c r="B142" s="1" t="s">
        <v>18</v>
      </c>
      <c r="C142" s="1" t="s">
        <v>19</v>
      </c>
      <c r="D142" s="1" t="s">
        <v>20</v>
      </c>
      <c r="E142" s="1" t="s">
        <v>86</v>
      </c>
      <c r="F142" s="1" t="s">
        <v>22</v>
      </c>
      <c r="G142" s="1" t="s">
        <v>223</v>
      </c>
      <c r="H142" s="1" t="s">
        <v>412</v>
      </c>
      <c r="I142" s="1" t="s">
        <v>413</v>
      </c>
      <c r="J142" s="1" t="s">
        <v>26</v>
      </c>
      <c r="K142" s="1">
        <v>2023</v>
      </c>
      <c r="L142" s="1">
        <v>7</v>
      </c>
      <c r="M142" s="1" t="s">
        <v>89</v>
      </c>
      <c r="N142" s="1" t="s">
        <v>28</v>
      </c>
      <c r="O142" s="1" t="s">
        <v>29</v>
      </c>
      <c r="P142" s="1" t="s">
        <v>226</v>
      </c>
      <c r="Q142" s="1" t="s">
        <v>461</v>
      </c>
    </row>
    <row r="143" spans="1:17" ht="15.75" customHeight="1" x14ac:dyDescent="0.25">
      <c r="A143" s="1" t="s">
        <v>179</v>
      </c>
      <c r="B143" s="1" t="s">
        <v>18</v>
      </c>
      <c r="C143" s="1" t="s">
        <v>19</v>
      </c>
      <c r="D143" s="1" t="s">
        <v>20</v>
      </c>
      <c r="E143" s="1" t="s">
        <v>86</v>
      </c>
      <c r="F143" s="1" t="s">
        <v>22</v>
      </c>
      <c r="G143" s="1" t="s">
        <v>180</v>
      </c>
      <c r="H143" s="1" t="s">
        <v>181</v>
      </c>
      <c r="I143" s="1" t="s">
        <v>182</v>
      </c>
      <c r="J143" s="1" t="s">
        <v>26</v>
      </c>
      <c r="K143" s="1">
        <v>2023</v>
      </c>
      <c r="L143" s="1">
        <v>7</v>
      </c>
      <c r="M143" s="1" t="s">
        <v>89</v>
      </c>
      <c r="N143" s="1" t="s">
        <v>28</v>
      </c>
      <c r="O143" s="1" t="s">
        <v>29</v>
      </c>
      <c r="P143" s="1" t="s">
        <v>183</v>
      </c>
      <c r="Q143" s="1" t="s">
        <v>462</v>
      </c>
    </row>
    <row r="144" spans="1:17" ht="15.75" customHeight="1" x14ac:dyDescent="0.25">
      <c r="A144" s="1" t="s">
        <v>463</v>
      </c>
      <c r="B144" s="1" t="s">
        <v>18</v>
      </c>
      <c r="C144" s="1" t="s">
        <v>19</v>
      </c>
      <c r="D144" s="1" t="s">
        <v>20</v>
      </c>
      <c r="E144" s="1" t="s">
        <v>86</v>
      </c>
      <c r="F144" s="1" t="s">
        <v>22</v>
      </c>
      <c r="G144" s="1" t="s">
        <v>186</v>
      </c>
      <c r="H144" s="1" t="s">
        <v>416</v>
      </c>
      <c r="I144" s="1" t="s">
        <v>417</v>
      </c>
      <c r="J144" s="1" t="s">
        <v>189</v>
      </c>
      <c r="K144" s="1">
        <v>2023</v>
      </c>
      <c r="L144" s="1">
        <v>7</v>
      </c>
      <c r="M144" s="1" t="s">
        <v>89</v>
      </c>
      <c r="N144" s="1" t="s">
        <v>28</v>
      </c>
      <c r="O144" s="1" t="s">
        <v>29</v>
      </c>
      <c r="P144" s="1" t="s">
        <v>190</v>
      </c>
      <c r="Q144" s="1" t="s">
        <v>464</v>
      </c>
    </row>
    <row r="145" spans="1:17" ht="15.75" customHeight="1" x14ac:dyDescent="0.25">
      <c r="A145" s="1" t="s">
        <v>465</v>
      </c>
      <c r="B145" s="1" t="s">
        <v>18</v>
      </c>
      <c r="C145" s="1" t="s">
        <v>19</v>
      </c>
      <c r="D145" s="1" t="s">
        <v>20</v>
      </c>
      <c r="E145" s="1" t="s">
        <v>86</v>
      </c>
      <c r="F145" s="1" t="s">
        <v>22</v>
      </c>
      <c r="G145" s="1" t="s">
        <v>186</v>
      </c>
      <c r="H145" s="1" t="s">
        <v>187</v>
      </c>
      <c r="I145" s="1" t="s">
        <v>188</v>
      </c>
      <c r="J145" s="1" t="s">
        <v>189</v>
      </c>
      <c r="K145" s="1">
        <v>2023</v>
      </c>
      <c r="L145" s="1">
        <v>7</v>
      </c>
      <c r="M145" s="1" t="s">
        <v>89</v>
      </c>
      <c r="N145" s="1" t="s">
        <v>28</v>
      </c>
      <c r="O145" s="1" t="s">
        <v>29</v>
      </c>
      <c r="P145" s="1" t="s">
        <v>190</v>
      </c>
      <c r="Q145" s="1" t="s">
        <v>466</v>
      </c>
    </row>
    <row r="146" spans="1:17" ht="15.75" customHeight="1" x14ac:dyDescent="0.25">
      <c r="A146" s="1" t="s">
        <v>467</v>
      </c>
      <c r="B146" s="1" t="s">
        <v>18</v>
      </c>
      <c r="C146" s="1" t="s">
        <v>19</v>
      </c>
      <c r="D146" s="1" t="s">
        <v>20</v>
      </c>
      <c r="E146" s="1" t="s">
        <v>86</v>
      </c>
      <c r="F146" s="1" t="s">
        <v>22</v>
      </c>
      <c r="G146" s="1" t="s">
        <v>223</v>
      </c>
      <c r="H146" s="1" t="s">
        <v>229</v>
      </c>
      <c r="I146" s="1" t="s">
        <v>468</v>
      </c>
      <c r="J146" s="1" t="s">
        <v>26</v>
      </c>
      <c r="K146" s="1">
        <v>2025</v>
      </c>
      <c r="L146" s="1">
        <v>7</v>
      </c>
      <c r="M146" s="1" t="s">
        <v>89</v>
      </c>
      <c r="N146" s="1" t="s">
        <v>28</v>
      </c>
      <c r="O146" s="1" t="s">
        <v>29</v>
      </c>
      <c r="P146" s="1" t="s">
        <v>226</v>
      </c>
      <c r="Q146" s="1" t="s">
        <v>469</v>
      </c>
    </row>
    <row r="147" spans="1:17" ht="15.75" customHeight="1" x14ac:dyDescent="0.25">
      <c r="A147" s="1" t="s">
        <v>470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22</v>
      </c>
      <c r="G147" s="1" t="s">
        <v>471</v>
      </c>
      <c r="H147" s="1" t="s">
        <v>472</v>
      </c>
      <c r="I147" s="1" t="s">
        <v>473</v>
      </c>
      <c r="J147" s="1" t="s">
        <v>26</v>
      </c>
      <c r="K147" s="1">
        <v>2023</v>
      </c>
      <c r="L147" s="1">
        <v>7</v>
      </c>
      <c r="M147" s="1" t="s">
        <v>27</v>
      </c>
      <c r="N147" s="1" t="s">
        <v>28</v>
      </c>
      <c r="O147" s="1" t="s">
        <v>29</v>
      </c>
      <c r="P147" s="1" t="s">
        <v>474</v>
      </c>
      <c r="Q147" s="1" t="s">
        <v>475</v>
      </c>
    </row>
    <row r="148" spans="1:17" ht="15.75" customHeight="1" x14ac:dyDescent="0.25">
      <c r="A148" s="1" t="s">
        <v>375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22</v>
      </c>
      <c r="G148" s="1" t="s">
        <v>201</v>
      </c>
      <c r="H148" s="1" t="s">
        <v>476</v>
      </c>
      <c r="I148" s="1" t="s">
        <v>477</v>
      </c>
      <c r="J148" s="1" t="s">
        <v>26</v>
      </c>
      <c r="K148" s="1">
        <v>2023</v>
      </c>
      <c r="L148" s="1">
        <v>7</v>
      </c>
      <c r="M148" s="1" t="s">
        <v>27</v>
      </c>
      <c r="N148" s="1" t="s">
        <v>28</v>
      </c>
      <c r="O148" s="1" t="s">
        <v>29</v>
      </c>
      <c r="P148" s="1" t="s">
        <v>204</v>
      </c>
      <c r="Q148" s="1" t="s">
        <v>478</v>
      </c>
    </row>
    <row r="149" spans="1:17" ht="15.75" customHeight="1" x14ac:dyDescent="0.25">
      <c r="A149" s="1" t="s">
        <v>80</v>
      </c>
      <c r="B149" s="1" t="s">
        <v>18</v>
      </c>
      <c r="C149" s="1" t="s">
        <v>19</v>
      </c>
      <c r="D149" s="1" t="s">
        <v>20</v>
      </c>
      <c r="E149" s="1" t="s">
        <v>21</v>
      </c>
      <c r="F149" s="1" t="s">
        <v>22</v>
      </c>
      <c r="G149" s="1" t="s">
        <v>75</v>
      </c>
      <c r="H149" s="1" t="s">
        <v>81</v>
      </c>
      <c r="I149" s="1" t="s">
        <v>82</v>
      </c>
      <c r="J149" s="1" t="s">
        <v>26</v>
      </c>
      <c r="K149" s="1">
        <v>2023</v>
      </c>
      <c r="L149" s="1">
        <v>7</v>
      </c>
      <c r="M149" s="1" t="s">
        <v>27</v>
      </c>
      <c r="N149" s="1" t="s">
        <v>28</v>
      </c>
      <c r="O149" s="1" t="s">
        <v>29</v>
      </c>
      <c r="P149" s="1" t="s">
        <v>78</v>
      </c>
      <c r="Q149" s="1" t="s">
        <v>479</v>
      </c>
    </row>
    <row r="150" spans="1:17" ht="15.75" customHeight="1" x14ac:dyDescent="0.25">
      <c r="A150" s="1" t="s">
        <v>375</v>
      </c>
      <c r="B150" s="1" t="s">
        <v>18</v>
      </c>
      <c r="C150" s="1" t="s">
        <v>19</v>
      </c>
      <c r="D150" s="1" t="s">
        <v>20</v>
      </c>
      <c r="E150" s="1" t="s">
        <v>21</v>
      </c>
      <c r="F150" s="1" t="s">
        <v>22</v>
      </c>
      <c r="G150" s="1" t="s">
        <v>75</v>
      </c>
      <c r="H150" s="1" t="s">
        <v>376</v>
      </c>
      <c r="I150" s="1" t="s">
        <v>377</v>
      </c>
      <c r="J150" s="1" t="s">
        <v>26</v>
      </c>
      <c r="K150" s="1">
        <v>2023</v>
      </c>
      <c r="L150" s="1">
        <v>7</v>
      </c>
      <c r="M150" s="1" t="s">
        <v>27</v>
      </c>
      <c r="N150" s="1" t="s">
        <v>28</v>
      </c>
      <c r="O150" s="1" t="s">
        <v>29</v>
      </c>
      <c r="P150" s="1" t="s">
        <v>78</v>
      </c>
      <c r="Q150" s="1" t="s">
        <v>480</v>
      </c>
    </row>
    <row r="151" spans="1:17" ht="15.75" customHeight="1" x14ac:dyDescent="0.25">
      <c r="A151" s="1" t="s">
        <v>44</v>
      </c>
      <c r="B151" s="1" t="s">
        <v>18</v>
      </c>
      <c r="C151" s="1" t="s">
        <v>19</v>
      </c>
      <c r="D151" s="1" t="s">
        <v>20</v>
      </c>
      <c r="E151" s="1" t="s">
        <v>21</v>
      </c>
      <c r="F151" s="1" t="s">
        <v>22</v>
      </c>
      <c r="G151" s="1" t="s">
        <v>39</v>
      </c>
      <c r="H151" s="1" t="s">
        <v>45</v>
      </c>
      <c r="I151" s="1" t="s">
        <v>46</v>
      </c>
      <c r="J151" s="1" t="s">
        <v>26</v>
      </c>
      <c r="K151" s="1">
        <v>2023</v>
      </c>
      <c r="L151" s="1">
        <v>7</v>
      </c>
      <c r="M151" s="1" t="s">
        <v>27</v>
      </c>
      <c r="N151" s="1" t="s">
        <v>28</v>
      </c>
      <c r="O151" s="1" t="s">
        <v>29</v>
      </c>
      <c r="P151" s="1" t="s">
        <v>42</v>
      </c>
      <c r="Q151" s="1" t="s">
        <v>481</v>
      </c>
    </row>
    <row r="152" spans="1:17" ht="15.75" customHeight="1" x14ac:dyDescent="0.25">
      <c r="A152" s="1" t="s">
        <v>67</v>
      </c>
      <c r="B152" s="1" t="s">
        <v>18</v>
      </c>
      <c r="C152" s="1" t="s">
        <v>19</v>
      </c>
      <c r="D152" s="1" t="s">
        <v>20</v>
      </c>
      <c r="E152" s="1" t="s">
        <v>21</v>
      </c>
      <c r="F152" s="1" t="s">
        <v>22</v>
      </c>
      <c r="G152" s="1" t="s">
        <v>382</v>
      </c>
      <c r="H152" s="1" t="s">
        <v>383</v>
      </c>
      <c r="I152" s="1" t="s">
        <v>384</v>
      </c>
      <c r="J152" s="1" t="s">
        <v>26</v>
      </c>
      <c r="K152" s="1">
        <v>2023</v>
      </c>
      <c r="L152" s="1">
        <v>7</v>
      </c>
      <c r="M152" s="1" t="s">
        <v>27</v>
      </c>
      <c r="N152" s="1" t="s">
        <v>28</v>
      </c>
      <c r="O152" s="1" t="s">
        <v>29</v>
      </c>
      <c r="P152" s="1" t="s">
        <v>385</v>
      </c>
      <c r="Q152" s="1" t="s">
        <v>482</v>
      </c>
    </row>
    <row r="153" spans="1:17" ht="15.75" customHeight="1" x14ac:dyDescent="0.25">
      <c r="A153" s="1" t="s">
        <v>48</v>
      </c>
      <c r="B153" s="1" t="s">
        <v>18</v>
      </c>
      <c r="C153" s="1" t="s">
        <v>19</v>
      </c>
      <c r="D153" s="1" t="s">
        <v>20</v>
      </c>
      <c r="E153" s="1" t="s">
        <v>21</v>
      </c>
      <c r="F153" s="1" t="s">
        <v>22</v>
      </c>
      <c r="G153" s="1" t="s">
        <v>49</v>
      </c>
      <c r="H153" s="1" t="s">
        <v>387</v>
      </c>
      <c r="I153" s="1" t="s">
        <v>388</v>
      </c>
      <c r="J153" s="1" t="s">
        <v>26</v>
      </c>
      <c r="K153" s="1">
        <v>2023</v>
      </c>
      <c r="L153" s="1">
        <v>7</v>
      </c>
      <c r="M153" s="1" t="s">
        <v>27</v>
      </c>
      <c r="N153" s="1" t="s">
        <v>28</v>
      </c>
      <c r="O153" s="1" t="s">
        <v>29</v>
      </c>
      <c r="P153" s="1" t="s">
        <v>52</v>
      </c>
      <c r="Q153" s="1" t="s">
        <v>483</v>
      </c>
    </row>
    <row r="154" spans="1:17" ht="15.75" customHeight="1" x14ac:dyDescent="0.25">
      <c r="A154" s="1" t="s">
        <v>166</v>
      </c>
      <c r="B154" s="1" t="s">
        <v>18</v>
      </c>
      <c r="C154" s="1" t="s">
        <v>19</v>
      </c>
      <c r="D154" s="1" t="s">
        <v>20</v>
      </c>
      <c r="E154" s="1" t="s">
        <v>21</v>
      </c>
      <c r="F154" s="1" t="s">
        <v>22</v>
      </c>
      <c r="G154" s="1" t="s">
        <v>167</v>
      </c>
      <c r="H154" s="1" t="s">
        <v>484</v>
      </c>
      <c r="I154" s="1" t="s">
        <v>485</v>
      </c>
      <c r="J154" s="1" t="s">
        <v>26</v>
      </c>
      <c r="K154" s="1">
        <v>2023</v>
      </c>
      <c r="L154" s="1">
        <v>7</v>
      </c>
      <c r="M154" s="1" t="s">
        <v>27</v>
      </c>
      <c r="N154" s="1" t="s">
        <v>28</v>
      </c>
      <c r="O154" s="1" t="s">
        <v>29</v>
      </c>
      <c r="P154" s="1" t="s">
        <v>170</v>
      </c>
      <c r="Q154" s="1" t="s">
        <v>486</v>
      </c>
    </row>
    <row r="155" spans="1:17" ht="15.75" customHeight="1" x14ac:dyDescent="0.25">
      <c r="A155" s="1" t="s">
        <v>349</v>
      </c>
      <c r="B155" s="1" t="s">
        <v>18</v>
      </c>
      <c r="C155" s="1" t="s">
        <v>19</v>
      </c>
      <c r="D155" s="1" t="s">
        <v>20</v>
      </c>
      <c r="E155" s="1" t="s">
        <v>86</v>
      </c>
      <c r="F155" s="1" t="s">
        <v>22</v>
      </c>
      <c r="G155" s="1" t="s">
        <v>174</v>
      </c>
      <c r="H155" s="1" t="s">
        <v>175</v>
      </c>
      <c r="I155" s="1" t="s">
        <v>176</v>
      </c>
      <c r="J155" s="1" t="s">
        <v>26</v>
      </c>
      <c r="K155" s="1">
        <v>2023</v>
      </c>
      <c r="L155" s="1">
        <v>8</v>
      </c>
      <c r="M155" s="1" t="s">
        <v>89</v>
      </c>
      <c r="N155" s="1" t="s">
        <v>28</v>
      </c>
      <c r="O155" s="1" t="s">
        <v>29</v>
      </c>
      <c r="P155" s="1" t="s">
        <v>177</v>
      </c>
      <c r="Q155" s="1" t="s">
        <v>487</v>
      </c>
    </row>
    <row r="156" spans="1:17" ht="15.75" customHeight="1" x14ac:dyDescent="0.25">
      <c r="A156" s="1" t="s">
        <v>488</v>
      </c>
      <c r="B156" s="1" t="s">
        <v>18</v>
      </c>
      <c r="C156" s="1" t="s">
        <v>19</v>
      </c>
      <c r="D156" s="1" t="s">
        <v>20</v>
      </c>
      <c r="E156" s="1" t="s">
        <v>86</v>
      </c>
      <c r="F156" s="1" t="s">
        <v>22</v>
      </c>
      <c r="G156" s="1" t="s">
        <v>298</v>
      </c>
      <c r="H156" s="1" t="s">
        <v>489</v>
      </c>
      <c r="I156" s="1" t="s">
        <v>490</v>
      </c>
      <c r="J156" s="1" t="s">
        <v>26</v>
      </c>
      <c r="K156" s="1">
        <v>2023</v>
      </c>
      <c r="L156" s="1">
        <v>8</v>
      </c>
      <c r="M156" s="1" t="s">
        <v>89</v>
      </c>
      <c r="N156" s="1" t="s">
        <v>28</v>
      </c>
      <c r="O156" s="1" t="s">
        <v>29</v>
      </c>
      <c r="P156" s="1" t="s">
        <v>301</v>
      </c>
      <c r="Q156" s="1" t="s">
        <v>491</v>
      </c>
    </row>
    <row r="157" spans="1:17" ht="15.75" customHeight="1" x14ac:dyDescent="0.25">
      <c r="A157" s="1" t="s">
        <v>179</v>
      </c>
      <c r="B157" s="1" t="s">
        <v>18</v>
      </c>
      <c r="C157" s="1" t="s">
        <v>19</v>
      </c>
      <c r="D157" s="1" t="s">
        <v>20</v>
      </c>
      <c r="E157" s="1" t="s">
        <v>86</v>
      </c>
      <c r="F157" s="1" t="s">
        <v>22</v>
      </c>
      <c r="G157" s="1" t="s">
        <v>180</v>
      </c>
      <c r="H157" s="1" t="s">
        <v>181</v>
      </c>
      <c r="I157" s="1" t="s">
        <v>182</v>
      </c>
      <c r="J157" s="1" t="s">
        <v>26</v>
      </c>
      <c r="K157" s="1">
        <v>2023</v>
      </c>
      <c r="L157" s="1">
        <v>8</v>
      </c>
      <c r="M157" s="1" t="s">
        <v>89</v>
      </c>
      <c r="N157" s="1" t="s">
        <v>28</v>
      </c>
      <c r="O157" s="1" t="s">
        <v>29</v>
      </c>
      <c r="P157" s="1" t="s">
        <v>183</v>
      </c>
      <c r="Q157" s="1" t="s">
        <v>492</v>
      </c>
    </row>
    <row r="158" spans="1:17" ht="15.75" customHeight="1" x14ac:dyDescent="0.25">
      <c r="A158" s="1" t="s">
        <v>38</v>
      </c>
      <c r="B158" s="1" t="s">
        <v>18</v>
      </c>
      <c r="C158" s="1" t="s">
        <v>19</v>
      </c>
      <c r="D158" s="1" t="s">
        <v>20</v>
      </c>
      <c r="E158" s="1" t="s">
        <v>21</v>
      </c>
      <c r="F158" s="1" t="s">
        <v>22</v>
      </c>
      <c r="G158" s="1" t="s">
        <v>39</v>
      </c>
      <c r="H158" s="1" t="s">
        <v>493</v>
      </c>
      <c r="I158" s="1" t="s">
        <v>494</v>
      </c>
      <c r="J158" s="1" t="s">
        <v>26</v>
      </c>
      <c r="K158" s="1">
        <v>2023</v>
      </c>
      <c r="L158" s="1">
        <v>8</v>
      </c>
      <c r="M158" s="1" t="s">
        <v>27</v>
      </c>
      <c r="N158" s="1" t="s">
        <v>28</v>
      </c>
      <c r="O158" s="1" t="s">
        <v>29</v>
      </c>
      <c r="P158" s="1" t="s">
        <v>42</v>
      </c>
      <c r="Q158" s="1" t="s">
        <v>495</v>
      </c>
    </row>
    <row r="159" spans="1:17" ht="15.75" customHeight="1" x14ac:dyDescent="0.25">
      <c r="A159" s="1" t="s">
        <v>496</v>
      </c>
      <c r="B159" s="1" t="s">
        <v>18</v>
      </c>
      <c r="C159" s="1" t="s">
        <v>19</v>
      </c>
      <c r="D159" s="1" t="s">
        <v>20</v>
      </c>
      <c r="E159" s="1" t="s">
        <v>21</v>
      </c>
      <c r="F159" s="1" t="s">
        <v>22</v>
      </c>
      <c r="G159" s="1" t="s">
        <v>104</v>
      </c>
      <c r="H159" s="1" t="s">
        <v>497</v>
      </c>
      <c r="I159" s="1" t="s">
        <v>498</v>
      </c>
      <c r="J159" s="1" t="s">
        <v>26</v>
      </c>
      <c r="K159" s="1">
        <v>2023</v>
      </c>
      <c r="L159" s="1">
        <v>8</v>
      </c>
      <c r="M159" s="1" t="s">
        <v>27</v>
      </c>
      <c r="N159" s="1" t="s">
        <v>28</v>
      </c>
      <c r="O159" s="1" t="s">
        <v>29</v>
      </c>
      <c r="P159" s="1" t="s">
        <v>107</v>
      </c>
      <c r="Q159" s="1" t="s">
        <v>499</v>
      </c>
    </row>
    <row r="160" spans="1:17" ht="15.75" customHeight="1" x14ac:dyDescent="0.25">
      <c r="A160" s="1" t="s">
        <v>228</v>
      </c>
      <c r="B160" s="1" t="s">
        <v>18</v>
      </c>
      <c r="C160" s="1" t="s">
        <v>19</v>
      </c>
      <c r="D160" s="1" t="s">
        <v>20</v>
      </c>
      <c r="E160" s="1" t="s">
        <v>86</v>
      </c>
      <c r="F160" s="1" t="s">
        <v>22</v>
      </c>
      <c r="G160" s="1" t="s">
        <v>223</v>
      </c>
      <c r="H160" s="1" t="s">
        <v>258</v>
      </c>
      <c r="I160" s="1" t="s">
        <v>259</v>
      </c>
      <c r="J160" s="1" t="s">
        <v>26</v>
      </c>
      <c r="K160" s="1">
        <v>2023</v>
      </c>
      <c r="L160" s="1">
        <v>9</v>
      </c>
      <c r="M160" s="1" t="s">
        <v>89</v>
      </c>
      <c r="N160" s="1" t="s">
        <v>28</v>
      </c>
      <c r="O160" s="1" t="s">
        <v>29</v>
      </c>
      <c r="P160" s="1" t="s">
        <v>226</v>
      </c>
      <c r="Q160" s="1" t="s">
        <v>500</v>
      </c>
    </row>
    <row r="161" spans="1:17" ht="15.75" customHeight="1" x14ac:dyDescent="0.25">
      <c r="A161" s="1" t="s">
        <v>329</v>
      </c>
      <c r="B161" s="1" t="s">
        <v>18</v>
      </c>
      <c r="C161" s="1" t="s">
        <v>19</v>
      </c>
      <c r="D161" s="1" t="s">
        <v>20</v>
      </c>
      <c r="E161" s="1" t="s">
        <v>86</v>
      </c>
      <c r="F161" s="1" t="s">
        <v>22</v>
      </c>
      <c r="G161" s="1" t="s">
        <v>501</v>
      </c>
      <c r="H161" s="1" t="s">
        <v>502</v>
      </c>
      <c r="I161" s="1" t="s">
        <v>503</v>
      </c>
      <c r="J161" s="1" t="s">
        <v>26</v>
      </c>
      <c r="K161" s="1">
        <v>2023</v>
      </c>
      <c r="L161" s="1">
        <v>9</v>
      </c>
      <c r="M161" s="1" t="s">
        <v>89</v>
      </c>
      <c r="N161" s="1" t="s">
        <v>28</v>
      </c>
      <c r="O161" s="1" t="s">
        <v>29</v>
      </c>
      <c r="P161" s="1" t="s">
        <v>504</v>
      </c>
      <c r="Q161" s="1" t="s">
        <v>505</v>
      </c>
    </row>
    <row r="162" spans="1:17" ht="15.75" customHeight="1" x14ac:dyDescent="0.25">
      <c r="A162" s="1" t="s">
        <v>85</v>
      </c>
      <c r="B162" s="1" t="s">
        <v>18</v>
      </c>
      <c r="C162" s="1" t="s">
        <v>19</v>
      </c>
      <c r="D162" s="1" t="s">
        <v>20</v>
      </c>
      <c r="E162" s="1" t="s">
        <v>21</v>
      </c>
      <c r="F162" s="1" t="s">
        <v>22</v>
      </c>
      <c r="G162" s="1" t="s">
        <v>61</v>
      </c>
      <c r="H162" s="1" t="s">
        <v>62</v>
      </c>
      <c r="I162" s="1" t="s">
        <v>63</v>
      </c>
      <c r="J162" s="1" t="s">
        <v>26</v>
      </c>
      <c r="K162" s="1">
        <v>2023</v>
      </c>
      <c r="L162" s="1">
        <v>9</v>
      </c>
      <c r="M162" s="1" t="s">
        <v>27</v>
      </c>
      <c r="N162" s="1" t="s">
        <v>28</v>
      </c>
      <c r="O162" s="1" t="s">
        <v>29</v>
      </c>
      <c r="P162" s="1" t="s">
        <v>65</v>
      </c>
      <c r="Q162" s="1" t="s">
        <v>506</v>
      </c>
    </row>
    <row r="163" spans="1:17" ht="15.75" customHeight="1" x14ac:dyDescent="0.25">
      <c r="A163" s="1" t="s">
        <v>507</v>
      </c>
      <c r="B163" s="1" t="s">
        <v>18</v>
      </c>
      <c r="C163" s="1" t="s">
        <v>19</v>
      </c>
      <c r="D163" s="1" t="s">
        <v>20</v>
      </c>
      <c r="E163" s="1" t="s">
        <v>21</v>
      </c>
      <c r="F163" s="1" t="s">
        <v>22</v>
      </c>
      <c r="G163" s="1" t="s">
        <v>104</v>
      </c>
      <c r="H163" s="1" t="s">
        <v>105</v>
      </c>
      <c r="I163" s="1" t="s">
        <v>106</v>
      </c>
      <c r="J163" s="1" t="s">
        <v>26</v>
      </c>
      <c r="K163" s="1">
        <v>2023</v>
      </c>
      <c r="L163" s="1">
        <v>9</v>
      </c>
      <c r="M163" s="1" t="s">
        <v>27</v>
      </c>
      <c r="N163" s="1" t="s">
        <v>28</v>
      </c>
      <c r="O163" s="1" t="s">
        <v>29</v>
      </c>
      <c r="P163" s="1" t="s">
        <v>107</v>
      </c>
      <c r="Q163" s="1" t="s">
        <v>508</v>
      </c>
    </row>
    <row r="164" spans="1:17" ht="15.75" customHeight="1" x14ac:dyDescent="0.25">
      <c r="A164" s="1" t="s">
        <v>509</v>
      </c>
      <c r="B164" s="1" t="s">
        <v>18</v>
      </c>
      <c r="C164" s="1" t="s">
        <v>19</v>
      </c>
      <c r="D164" s="1" t="s">
        <v>20</v>
      </c>
      <c r="E164" s="1" t="s">
        <v>21</v>
      </c>
      <c r="F164" s="1" t="s">
        <v>22</v>
      </c>
      <c r="G164" s="1" t="s">
        <v>152</v>
      </c>
      <c r="H164" s="1" t="s">
        <v>510</v>
      </c>
      <c r="I164" s="1" t="s">
        <v>511</v>
      </c>
      <c r="J164" s="1" t="s">
        <v>26</v>
      </c>
      <c r="K164" s="1">
        <v>2023</v>
      </c>
      <c r="L164" s="1">
        <v>9</v>
      </c>
      <c r="M164" s="1" t="s">
        <v>27</v>
      </c>
      <c r="N164" s="1" t="s">
        <v>28</v>
      </c>
      <c r="O164" s="1" t="s">
        <v>29</v>
      </c>
      <c r="P164" s="1" t="s">
        <v>155</v>
      </c>
      <c r="Q164" s="1" t="s">
        <v>512</v>
      </c>
    </row>
    <row r="165" spans="1:17" ht="15.75" customHeight="1" x14ac:dyDescent="0.25">
      <c r="A165" s="1" t="s">
        <v>85</v>
      </c>
      <c r="B165" s="1" t="s">
        <v>18</v>
      </c>
      <c r="C165" s="1" t="s">
        <v>19</v>
      </c>
      <c r="D165" s="1" t="s">
        <v>20</v>
      </c>
      <c r="E165" s="1" t="s">
        <v>21</v>
      </c>
      <c r="F165" s="1" t="s">
        <v>22</v>
      </c>
      <c r="G165" s="1" t="s">
        <v>61</v>
      </c>
      <c r="H165" s="1" t="s">
        <v>513</v>
      </c>
      <c r="I165" s="1" t="s">
        <v>514</v>
      </c>
      <c r="J165" s="1" t="s">
        <v>26</v>
      </c>
      <c r="K165" s="1">
        <v>2023</v>
      </c>
      <c r="L165" s="1">
        <v>10</v>
      </c>
      <c r="M165" s="1" t="s">
        <v>27</v>
      </c>
      <c r="N165" s="1" t="s">
        <v>28</v>
      </c>
      <c r="O165" s="1" t="s">
        <v>29</v>
      </c>
      <c r="P165" s="1" t="s">
        <v>65</v>
      </c>
      <c r="Q165" s="1" t="s">
        <v>515</v>
      </c>
    </row>
    <row r="166" spans="1:17" ht="15.75" customHeight="1" x14ac:dyDescent="0.25">
      <c r="A166" s="1" t="s">
        <v>212</v>
      </c>
      <c r="B166" s="1" t="s">
        <v>18</v>
      </c>
      <c r="C166" s="1" t="s">
        <v>19</v>
      </c>
      <c r="D166" s="1" t="s">
        <v>20</v>
      </c>
      <c r="E166" s="1" t="s">
        <v>21</v>
      </c>
      <c r="F166" s="1" t="s">
        <v>22</v>
      </c>
      <c r="G166" s="1" t="s">
        <v>516</v>
      </c>
      <c r="H166" s="1" t="s">
        <v>517</v>
      </c>
      <c r="I166" s="1" t="s">
        <v>518</v>
      </c>
      <c r="J166" s="1" t="s">
        <v>26</v>
      </c>
      <c r="K166" s="1">
        <v>2023</v>
      </c>
      <c r="L166" s="1">
        <v>10</v>
      </c>
      <c r="M166" s="1" t="s">
        <v>27</v>
      </c>
      <c r="N166" s="1" t="s">
        <v>28</v>
      </c>
      <c r="O166" s="1" t="s">
        <v>29</v>
      </c>
      <c r="P166" s="1" t="s">
        <v>519</v>
      </c>
      <c r="Q166" s="1" t="s">
        <v>520</v>
      </c>
    </row>
    <row r="167" spans="1:17" ht="15.75" customHeight="1" x14ac:dyDescent="0.25">
      <c r="A167" s="1" t="s">
        <v>521</v>
      </c>
      <c r="B167" s="1" t="s">
        <v>18</v>
      </c>
      <c r="C167" s="1" t="s">
        <v>19</v>
      </c>
      <c r="D167" s="1" t="s">
        <v>123</v>
      </c>
      <c r="E167" s="1" t="s">
        <v>124</v>
      </c>
      <c r="F167" s="1" t="s">
        <v>125</v>
      </c>
      <c r="G167" s="1" t="s">
        <v>135</v>
      </c>
      <c r="H167" s="1" t="s">
        <v>354</v>
      </c>
      <c r="I167" s="1" t="s">
        <v>355</v>
      </c>
      <c r="J167" s="1" t="s">
        <v>129</v>
      </c>
      <c r="K167" s="1">
        <v>2025</v>
      </c>
      <c r="L167" s="1">
        <v>10</v>
      </c>
      <c r="M167" s="1" t="s">
        <v>130</v>
      </c>
      <c r="N167" s="1" t="s">
        <v>28</v>
      </c>
      <c r="O167" s="1" t="s">
        <v>131</v>
      </c>
      <c r="P167" s="1" t="s">
        <v>138</v>
      </c>
      <c r="Q167" s="1" t="s">
        <v>522</v>
      </c>
    </row>
    <row r="168" spans="1:17" ht="15.75" customHeight="1" x14ac:dyDescent="0.25">
      <c r="A168" s="1" t="s">
        <v>313</v>
      </c>
      <c r="B168" s="1" t="s">
        <v>18</v>
      </c>
      <c r="C168" s="1" t="s">
        <v>19</v>
      </c>
      <c r="D168" s="1" t="s">
        <v>20</v>
      </c>
      <c r="E168" s="1" t="s">
        <v>21</v>
      </c>
      <c r="F168" s="1" t="s">
        <v>22</v>
      </c>
      <c r="G168" s="1" t="s">
        <v>314</v>
      </c>
      <c r="H168" s="1" t="s">
        <v>315</v>
      </c>
      <c r="I168" s="1" t="s">
        <v>316</v>
      </c>
      <c r="J168" s="1" t="s">
        <v>26</v>
      </c>
      <c r="K168" s="1">
        <v>2023</v>
      </c>
      <c r="L168" s="1">
        <v>10</v>
      </c>
      <c r="M168" s="1" t="s">
        <v>27</v>
      </c>
      <c r="N168" s="1" t="s">
        <v>28</v>
      </c>
      <c r="O168" s="1" t="s">
        <v>29</v>
      </c>
      <c r="P168" s="1" t="s">
        <v>317</v>
      </c>
      <c r="Q168" s="1" t="s">
        <v>523</v>
      </c>
    </row>
    <row r="169" spans="1:17" ht="15.75" customHeight="1" x14ac:dyDescent="0.25">
      <c r="A169" s="1" t="s">
        <v>509</v>
      </c>
      <c r="B169" s="1" t="s">
        <v>18</v>
      </c>
      <c r="C169" s="1" t="s">
        <v>19</v>
      </c>
      <c r="D169" s="1" t="s">
        <v>20</v>
      </c>
      <c r="E169" s="1" t="s">
        <v>21</v>
      </c>
      <c r="F169" s="1" t="s">
        <v>22</v>
      </c>
      <c r="G169" s="1" t="s">
        <v>152</v>
      </c>
      <c r="H169" s="1" t="s">
        <v>524</v>
      </c>
      <c r="I169" s="1" t="s">
        <v>525</v>
      </c>
      <c r="J169" s="1" t="s">
        <v>26</v>
      </c>
      <c r="K169" s="1">
        <v>2023</v>
      </c>
      <c r="L169" s="1">
        <v>10</v>
      </c>
      <c r="M169" s="1" t="s">
        <v>27</v>
      </c>
      <c r="N169" s="1" t="s">
        <v>28</v>
      </c>
      <c r="O169" s="1" t="s">
        <v>29</v>
      </c>
      <c r="P169" s="1" t="s">
        <v>155</v>
      </c>
      <c r="Q169" s="1" t="s">
        <v>526</v>
      </c>
    </row>
    <row r="170" spans="1:17" ht="15.75" customHeight="1" x14ac:dyDescent="0.25">
      <c r="A170" s="1" t="s">
        <v>297</v>
      </c>
      <c r="B170" s="1" t="s">
        <v>18</v>
      </c>
      <c r="C170" s="1" t="s">
        <v>19</v>
      </c>
      <c r="D170" s="1" t="s">
        <v>20</v>
      </c>
      <c r="E170" s="1" t="s">
        <v>21</v>
      </c>
      <c r="F170" s="1" t="s">
        <v>22</v>
      </c>
      <c r="G170" s="1" t="s">
        <v>217</v>
      </c>
      <c r="H170" s="1" t="s">
        <v>218</v>
      </c>
      <c r="I170" s="1" t="s">
        <v>219</v>
      </c>
      <c r="J170" s="1" t="s">
        <v>26</v>
      </c>
      <c r="K170" s="1">
        <v>2023</v>
      </c>
      <c r="L170" s="1">
        <v>10</v>
      </c>
      <c r="M170" s="1" t="s">
        <v>27</v>
      </c>
      <c r="N170" s="1" t="s">
        <v>28</v>
      </c>
      <c r="O170" s="1" t="s">
        <v>29</v>
      </c>
      <c r="P170" s="1" t="s">
        <v>220</v>
      </c>
      <c r="Q170" s="1" t="s">
        <v>527</v>
      </c>
    </row>
    <row r="171" spans="1:17" ht="15.75" customHeight="1" x14ac:dyDescent="0.25">
      <c r="A171" s="1" t="s">
        <v>528</v>
      </c>
      <c r="B171" s="1" t="s">
        <v>18</v>
      </c>
      <c r="C171" s="1" t="s">
        <v>19</v>
      </c>
      <c r="D171" s="1" t="s">
        <v>20</v>
      </c>
      <c r="E171" s="1" t="s">
        <v>86</v>
      </c>
      <c r="F171" s="1" t="s">
        <v>22</v>
      </c>
      <c r="G171" s="1" t="s">
        <v>186</v>
      </c>
      <c r="H171" s="1" t="s">
        <v>529</v>
      </c>
      <c r="I171" s="1" t="s">
        <v>530</v>
      </c>
      <c r="J171" s="1" t="s">
        <v>189</v>
      </c>
      <c r="K171" s="1">
        <v>2023</v>
      </c>
      <c r="L171" s="1">
        <v>11</v>
      </c>
      <c r="M171" s="1" t="s">
        <v>89</v>
      </c>
      <c r="N171" s="1" t="s">
        <v>28</v>
      </c>
      <c r="O171" s="1" t="s">
        <v>29</v>
      </c>
      <c r="P171" s="1" t="s">
        <v>190</v>
      </c>
      <c r="Q171" s="1" t="s">
        <v>531</v>
      </c>
    </row>
    <row r="172" spans="1:17" ht="15.75" customHeight="1" x14ac:dyDescent="0.25">
      <c r="A172" s="1" t="s">
        <v>532</v>
      </c>
      <c r="B172" s="1" t="s">
        <v>18</v>
      </c>
      <c r="C172" s="1" t="s">
        <v>19</v>
      </c>
      <c r="D172" s="1" t="s">
        <v>20</v>
      </c>
      <c r="E172" s="1" t="s">
        <v>86</v>
      </c>
      <c r="F172" s="1" t="s">
        <v>22</v>
      </c>
      <c r="G172" s="1" t="s">
        <v>533</v>
      </c>
      <c r="H172" s="1" t="s">
        <v>534</v>
      </c>
      <c r="I172" s="1" t="s">
        <v>535</v>
      </c>
      <c r="J172" s="1" t="s">
        <v>189</v>
      </c>
      <c r="K172" s="1">
        <v>2023</v>
      </c>
      <c r="L172" s="1">
        <v>11</v>
      </c>
      <c r="M172" s="1" t="s">
        <v>89</v>
      </c>
      <c r="N172" s="1" t="s">
        <v>28</v>
      </c>
      <c r="O172" s="1" t="s">
        <v>29</v>
      </c>
      <c r="P172" s="1" t="s">
        <v>536</v>
      </c>
      <c r="Q172" s="1" t="s">
        <v>537</v>
      </c>
    </row>
    <row r="173" spans="1:17" ht="15.75" customHeight="1" x14ac:dyDescent="0.25">
      <c r="A173" s="1" t="s">
        <v>411</v>
      </c>
      <c r="B173" s="1" t="s">
        <v>18</v>
      </c>
      <c r="C173" s="1" t="s">
        <v>19</v>
      </c>
      <c r="D173" s="1" t="s">
        <v>20</v>
      </c>
      <c r="E173" s="1" t="s">
        <v>21</v>
      </c>
      <c r="F173" s="1" t="s">
        <v>22</v>
      </c>
      <c r="G173" s="1" t="s">
        <v>223</v>
      </c>
      <c r="H173" s="1" t="s">
        <v>538</v>
      </c>
      <c r="I173" s="1" t="s">
        <v>539</v>
      </c>
      <c r="J173" s="1" t="s">
        <v>26</v>
      </c>
      <c r="K173" s="1">
        <v>2023</v>
      </c>
      <c r="L173" s="1">
        <v>11</v>
      </c>
      <c r="M173" s="1" t="s">
        <v>27</v>
      </c>
      <c r="N173" s="1" t="s">
        <v>28</v>
      </c>
      <c r="O173" s="1" t="s">
        <v>29</v>
      </c>
      <c r="P173" s="1" t="s">
        <v>226</v>
      </c>
      <c r="Q173" s="1" t="s">
        <v>540</v>
      </c>
    </row>
    <row r="174" spans="1:17" ht="15.75" customHeight="1" x14ac:dyDescent="0.25">
      <c r="A174" s="1" t="s">
        <v>541</v>
      </c>
      <c r="B174" s="1" t="s">
        <v>18</v>
      </c>
      <c r="C174" s="1" t="s">
        <v>19</v>
      </c>
      <c r="D174" s="1" t="s">
        <v>20</v>
      </c>
      <c r="E174" s="1" t="s">
        <v>21</v>
      </c>
      <c r="F174" s="1" t="s">
        <v>22</v>
      </c>
      <c r="G174" s="1" t="s">
        <v>61</v>
      </c>
      <c r="H174" s="1" t="s">
        <v>141</v>
      </c>
      <c r="I174" s="1" t="s">
        <v>142</v>
      </c>
      <c r="J174" s="1" t="s">
        <v>26</v>
      </c>
      <c r="K174" s="1">
        <v>2023</v>
      </c>
      <c r="L174" s="1">
        <v>11</v>
      </c>
      <c r="M174" s="1" t="s">
        <v>27</v>
      </c>
      <c r="N174" s="1" t="s">
        <v>28</v>
      </c>
      <c r="O174" s="1" t="s">
        <v>29</v>
      </c>
      <c r="P174" s="1" t="s">
        <v>65</v>
      </c>
      <c r="Q174" s="1" t="s">
        <v>542</v>
      </c>
    </row>
    <row r="175" spans="1:17" ht="15.75" customHeight="1" x14ac:dyDescent="0.25">
      <c r="A175" s="1" t="s">
        <v>266</v>
      </c>
      <c r="B175" s="1" t="s">
        <v>18</v>
      </c>
      <c r="C175" s="1" t="s">
        <v>19</v>
      </c>
      <c r="D175" s="1" t="s">
        <v>20</v>
      </c>
      <c r="E175" s="1" t="s">
        <v>21</v>
      </c>
      <c r="F175" s="1" t="s">
        <v>22</v>
      </c>
      <c r="G175" s="1" t="s">
        <v>267</v>
      </c>
      <c r="H175" s="1" t="s">
        <v>268</v>
      </c>
      <c r="I175" s="1" t="s">
        <v>269</v>
      </c>
      <c r="J175" s="1" t="s">
        <v>26</v>
      </c>
      <c r="K175" s="1">
        <v>2023</v>
      </c>
      <c r="L175" s="1">
        <v>11</v>
      </c>
      <c r="M175" s="1" t="s">
        <v>27</v>
      </c>
      <c r="N175" s="1" t="s">
        <v>28</v>
      </c>
      <c r="O175" s="1" t="s">
        <v>29</v>
      </c>
      <c r="P175" s="1" t="s">
        <v>270</v>
      </c>
      <c r="Q175" s="1" t="s">
        <v>543</v>
      </c>
    </row>
    <row r="176" spans="1:17" ht="15.75" customHeight="1" x14ac:dyDescent="0.25">
      <c r="A176" s="1" t="s">
        <v>212</v>
      </c>
      <c r="B176" s="1" t="s">
        <v>18</v>
      </c>
      <c r="C176" s="1" t="s">
        <v>19</v>
      </c>
      <c r="D176" s="1" t="s">
        <v>20</v>
      </c>
      <c r="E176" s="1" t="s">
        <v>21</v>
      </c>
      <c r="F176" s="1" t="s">
        <v>22</v>
      </c>
      <c r="G176" s="1" t="s">
        <v>39</v>
      </c>
      <c r="H176" s="1" t="s">
        <v>544</v>
      </c>
      <c r="I176" s="1" t="s">
        <v>545</v>
      </c>
      <c r="J176" s="1" t="s">
        <v>26</v>
      </c>
      <c r="K176" s="1">
        <v>2023</v>
      </c>
      <c r="L176" s="1">
        <v>11</v>
      </c>
      <c r="M176" s="1" t="s">
        <v>27</v>
      </c>
      <c r="N176" s="1" t="s">
        <v>28</v>
      </c>
      <c r="O176" s="1" t="s">
        <v>29</v>
      </c>
      <c r="P176" s="1" t="s">
        <v>42</v>
      </c>
      <c r="Q176" s="1" t="s">
        <v>546</v>
      </c>
    </row>
    <row r="177" spans="1:17" ht="15.75" customHeight="1" x14ac:dyDescent="0.25">
      <c r="A177" s="1" t="s">
        <v>297</v>
      </c>
      <c r="B177" s="1" t="s">
        <v>18</v>
      </c>
      <c r="C177" s="1" t="s">
        <v>19</v>
      </c>
      <c r="D177" s="1" t="s">
        <v>20</v>
      </c>
      <c r="E177" s="1" t="s">
        <v>86</v>
      </c>
      <c r="F177" s="1" t="s">
        <v>22</v>
      </c>
      <c r="G177" s="1" t="s">
        <v>298</v>
      </c>
      <c r="H177" s="2" t="s">
        <v>547</v>
      </c>
      <c r="I177" s="2" t="s">
        <v>548</v>
      </c>
      <c r="J177" s="1" t="s">
        <v>26</v>
      </c>
      <c r="K177" s="1">
        <v>2023</v>
      </c>
      <c r="L177" s="1">
        <v>1</v>
      </c>
      <c r="M177" s="1" t="s">
        <v>89</v>
      </c>
      <c r="N177" s="1" t="s">
        <v>28</v>
      </c>
      <c r="O177" s="1" t="s">
        <v>29</v>
      </c>
      <c r="P177" s="1" t="s">
        <v>301</v>
      </c>
      <c r="Q177" s="2" t="s">
        <v>549</v>
      </c>
    </row>
    <row r="178" spans="1:17" ht="15.75" customHeight="1" x14ac:dyDescent="0.25">
      <c r="A178" s="1" t="s">
        <v>179</v>
      </c>
      <c r="B178" s="1" t="s">
        <v>18</v>
      </c>
      <c r="C178" s="1" t="s">
        <v>19</v>
      </c>
      <c r="D178" s="1" t="s">
        <v>20</v>
      </c>
      <c r="E178" s="1" t="s">
        <v>86</v>
      </c>
      <c r="F178" s="1" t="s">
        <v>22</v>
      </c>
      <c r="G178" s="1" t="s">
        <v>180</v>
      </c>
      <c r="H178" s="1" t="s">
        <v>181</v>
      </c>
      <c r="I178" s="1" t="s">
        <v>182</v>
      </c>
      <c r="J178" s="1" t="s">
        <v>26</v>
      </c>
      <c r="K178" s="1">
        <v>2023</v>
      </c>
      <c r="L178" s="1">
        <v>1</v>
      </c>
      <c r="M178" s="1" t="s">
        <v>89</v>
      </c>
      <c r="N178" s="1" t="s">
        <v>28</v>
      </c>
      <c r="O178" s="1" t="s">
        <v>29</v>
      </c>
      <c r="P178" s="1" t="s">
        <v>183</v>
      </c>
      <c r="Q178" s="1" t="s">
        <v>550</v>
      </c>
    </row>
    <row r="179" spans="1:17" ht="15.75" customHeight="1" x14ac:dyDescent="0.25">
      <c r="A179" s="1" t="s">
        <v>551</v>
      </c>
      <c r="B179" s="1" t="s">
        <v>18</v>
      </c>
      <c r="C179" s="1" t="s">
        <v>19</v>
      </c>
      <c r="D179" s="1" t="s">
        <v>20</v>
      </c>
      <c r="E179" s="1" t="s">
        <v>86</v>
      </c>
      <c r="F179" s="1" t="s">
        <v>22</v>
      </c>
      <c r="G179" s="1" t="s">
        <v>186</v>
      </c>
      <c r="H179" s="1" t="s">
        <v>187</v>
      </c>
      <c r="I179" s="1" t="s">
        <v>188</v>
      </c>
      <c r="J179" s="1" t="s">
        <v>189</v>
      </c>
      <c r="K179" s="1">
        <v>2023</v>
      </c>
      <c r="L179" s="1">
        <v>1</v>
      </c>
      <c r="M179" s="1" t="s">
        <v>89</v>
      </c>
      <c r="N179" s="1" t="s">
        <v>28</v>
      </c>
      <c r="O179" s="1" t="s">
        <v>29</v>
      </c>
      <c r="P179" s="1" t="s">
        <v>190</v>
      </c>
      <c r="Q179" s="1" t="s">
        <v>552</v>
      </c>
    </row>
    <row r="180" spans="1:17" ht="15.75" customHeight="1" x14ac:dyDescent="0.25">
      <c r="A180" s="1" t="s">
        <v>553</v>
      </c>
      <c r="B180" s="1" t="s">
        <v>18</v>
      </c>
      <c r="C180" s="1" t="s">
        <v>19</v>
      </c>
      <c r="D180" s="1" t="s">
        <v>20</v>
      </c>
      <c r="E180" s="1" t="s">
        <v>21</v>
      </c>
      <c r="F180" s="1" t="s">
        <v>22</v>
      </c>
      <c r="G180" s="1" t="s">
        <v>152</v>
      </c>
      <c r="H180" s="1" t="s">
        <v>358</v>
      </c>
      <c r="I180" s="1" t="s">
        <v>359</v>
      </c>
      <c r="J180" s="1" t="s">
        <v>64</v>
      </c>
      <c r="K180" s="1">
        <v>2023</v>
      </c>
      <c r="L180" s="1">
        <v>1</v>
      </c>
      <c r="M180" s="1" t="s">
        <v>27</v>
      </c>
      <c r="N180" s="1" t="s">
        <v>28</v>
      </c>
      <c r="O180" s="1" t="s">
        <v>29</v>
      </c>
      <c r="P180" s="1" t="s">
        <v>155</v>
      </c>
      <c r="Q180" s="1" t="s">
        <v>554</v>
      </c>
    </row>
    <row r="181" spans="1:17" ht="15.75" customHeight="1" x14ac:dyDescent="0.25">
      <c r="A181" s="1" t="s">
        <v>555</v>
      </c>
      <c r="B181" s="1" t="s">
        <v>18</v>
      </c>
      <c r="C181" s="1" t="s">
        <v>19</v>
      </c>
      <c r="D181" s="1" t="s">
        <v>20</v>
      </c>
      <c r="E181" s="1" t="s">
        <v>21</v>
      </c>
      <c r="F181" s="1" t="s">
        <v>22</v>
      </c>
      <c r="G181" s="1" t="s">
        <v>23</v>
      </c>
      <c r="H181" s="1" t="s">
        <v>197</v>
      </c>
      <c r="I181" s="1" t="s">
        <v>198</v>
      </c>
      <c r="J181" s="1" t="s">
        <v>556</v>
      </c>
      <c r="K181" s="1">
        <v>2023</v>
      </c>
      <c r="L181" s="1">
        <v>1</v>
      </c>
      <c r="M181" s="1" t="s">
        <v>27</v>
      </c>
      <c r="N181" s="1" t="s">
        <v>28</v>
      </c>
      <c r="O181" s="1" t="s">
        <v>29</v>
      </c>
      <c r="P181" s="1" t="s">
        <v>30</v>
      </c>
      <c r="Q181" s="1" t="s">
        <v>557</v>
      </c>
    </row>
    <row r="182" spans="1:17" ht="15.75" customHeight="1" x14ac:dyDescent="0.25">
      <c r="A182" s="1" t="s">
        <v>375</v>
      </c>
      <c r="B182" s="1" t="s">
        <v>18</v>
      </c>
      <c r="C182" s="1" t="s">
        <v>19</v>
      </c>
      <c r="D182" s="1" t="s">
        <v>20</v>
      </c>
      <c r="E182" s="1" t="s">
        <v>21</v>
      </c>
      <c r="F182" s="1" t="s">
        <v>22</v>
      </c>
      <c r="G182" s="1" t="s">
        <v>75</v>
      </c>
      <c r="H182" s="1" t="s">
        <v>340</v>
      </c>
      <c r="I182" s="1" t="s">
        <v>341</v>
      </c>
      <c r="J182" s="1" t="s">
        <v>26</v>
      </c>
      <c r="K182" s="1">
        <v>2023</v>
      </c>
      <c r="L182" s="1">
        <v>1</v>
      </c>
      <c r="M182" s="1" t="s">
        <v>27</v>
      </c>
      <c r="N182" s="1" t="s">
        <v>28</v>
      </c>
      <c r="O182" s="1" t="s">
        <v>29</v>
      </c>
      <c r="P182" s="1" t="s">
        <v>78</v>
      </c>
      <c r="Q182" s="1" t="s">
        <v>558</v>
      </c>
    </row>
    <row r="183" spans="1:17" ht="15.75" customHeight="1" x14ac:dyDescent="0.25">
      <c r="A183" s="1" t="s">
        <v>313</v>
      </c>
      <c r="B183" s="1" t="s">
        <v>18</v>
      </c>
      <c r="C183" s="1" t="s">
        <v>19</v>
      </c>
      <c r="D183" s="1" t="s">
        <v>20</v>
      </c>
      <c r="E183" s="1" t="s">
        <v>21</v>
      </c>
      <c r="F183" s="1" t="s">
        <v>22</v>
      </c>
      <c r="G183" s="1" t="s">
        <v>314</v>
      </c>
      <c r="H183" s="1" t="s">
        <v>455</v>
      </c>
      <c r="I183" s="1" t="s">
        <v>456</v>
      </c>
      <c r="J183" s="1" t="s">
        <v>26</v>
      </c>
      <c r="K183" s="1">
        <v>2023</v>
      </c>
      <c r="L183" s="1">
        <v>1</v>
      </c>
      <c r="M183" s="1" t="s">
        <v>27</v>
      </c>
      <c r="N183" s="1" t="s">
        <v>28</v>
      </c>
      <c r="O183" s="1" t="s">
        <v>29</v>
      </c>
      <c r="P183" s="1" t="s">
        <v>317</v>
      </c>
      <c r="Q183" s="1" t="s">
        <v>559</v>
      </c>
    </row>
    <row r="184" spans="1:17" ht="15.75" customHeight="1" x14ac:dyDescent="0.25">
      <c r="A184" s="1" t="s">
        <v>509</v>
      </c>
      <c r="B184" s="1" t="s">
        <v>18</v>
      </c>
      <c r="C184" s="1" t="s">
        <v>19</v>
      </c>
      <c r="D184" s="1" t="s">
        <v>20</v>
      </c>
      <c r="E184" s="1" t="s">
        <v>21</v>
      </c>
      <c r="F184" s="1" t="s">
        <v>22</v>
      </c>
      <c r="G184" s="1" t="s">
        <v>152</v>
      </c>
      <c r="H184" s="1" t="s">
        <v>524</v>
      </c>
      <c r="I184" s="1" t="s">
        <v>525</v>
      </c>
      <c r="J184" s="1" t="s">
        <v>26</v>
      </c>
      <c r="K184" s="1">
        <v>2023</v>
      </c>
      <c r="L184" s="1">
        <v>1</v>
      </c>
      <c r="M184" s="1" t="s">
        <v>27</v>
      </c>
      <c r="N184" s="1" t="s">
        <v>28</v>
      </c>
      <c r="O184" s="1" t="s">
        <v>29</v>
      </c>
      <c r="P184" s="1" t="s">
        <v>155</v>
      </c>
      <c r="Q184" s="1" t="s">
        <v>560</v>
      </c>
    </row>
    <row r="185" spans="1:17" ht="15.75" customHeight="1" x14ac:dyDescent="0.25">
      <c r="A185" s="1" t="s">
        <v>561</v>
      </c>
      <c r="B185" s="1" t="s">
        <v>18</v>
      </c>
      <c r="C185" s="1" t="s">
        <v>19</v>
      </c>
      <c r="D185" s="1" t="s">
        <v>20</v>
      </c>
      <c r="E185" s="1" t="s">
        <v>21</v>
      </c>
      <c r="F185" s="1" t="s">
        <v>22</v>
      </c>
      <c r="G185" s="1" t="s">
        <v>382</v>
      </c>
      <c r="H185" s="1" t="s">
        <v>562</v>
      </c>
      <c r="I185" s="1" t="s">
        <v>563</v>
      </c>
      <c r="J185" s="1" t="s">
        <v>26</v>
      </c>
      <c r="K185" s="1">
        <v>2023</v>
      </c>
      <c r="L185" s="1">
        <v>1</v>
      </c>
      <c r="M185" s="1" t="s">
        <v>27</v>
      </c>
      <c r="N185" s="1" t="s">
        <v>28</v>
      </c>
      <c r="O185" s="1" t="s">
        <v>29</v>
      </c>
      <c r="P185" s="1" t="s">
        <v>385</v>
      </c>
      <c r="Q185" s="1" t="s">
        <v>564</v>
      </c>
    </row>
    <row r="186" spans="1:17" ht="15.75" customHeight="1" x14ac:dyDescent="0.25">
      <c r="A186" s="1" t="s">
        <v>228</v>
      </c>
      <c r="B186" s="1" t="s">
        <v>18</v>
      </c>
      <c r="C186" s="1" t="s">
        <v>19</v>
      </c>
      <c r="D186" s="1" t="s">
        <v>20</v>
      </c>
      <c r="E186" s="1" t="s">
        <v>86</v>
      </c>
      <c r="F186" s="1" t="s">
        <v>22</v>
      </c>
      <c r="G186" s="1" t="s">
        <v>223</v>
      </c>
      <c r="H186" s="1" t="s">
        <v>229</v>
      </c>
      <c r="I186" s="1" t="s">
        <v>230</v>
      </c>
      <c r="J186" s="1" t="s">
        <v>26</v>
      </c>
      <c r="K186" s="1">
        <v>2023</v>
      </c>
      <c r="L186" s="1">
        <v>2</v>
      </c>
      <c r="M186" s="1" t="s">
        <v>89</v>
      </c>
      <c r="N186" s="1" t="s">
        <v>28</v>
      </c>
      <c r="O186" s="1" t="s">
        <v>29</v>
      </c>
      <c r="P186" s="1" t="s">
        <v>226</v>
      </c>
      <c r="Q186" s="1" t="s">
        <v>565</v>
      </c>
    </row>
    <row r="187" spans="1:17" ht="15.75" customHeight="1" x14ac:dyDescent="0.25">
      <c r="A187" s="1" t="s">
        <v>85</v>
      </c>
      <c r="B187" s="1" t="s">
        <v>18</v>
      </c>
      <c r="C187" s="1" t="s">
        <v>19</v>
      </c>
      <c r="D187" s="1" t="s">
        <v>20</v>
      </c>
      <c r="E187" s="1" t="s">
        <v>21</v>
      </c>
      <c r="F187" s="1" t="s">
        <v>22</v>
      </c>
      <c r="G187" s="1" t="s">
        <v>61</v>
      </c>
      <c r="H187" s="1" t="s">
        <v>62</v>
      </c>
      <c r="I187" s="1" t="s">
        <v>63</v>
      </c>
      <c r="J187" s="1" t="s">
        <v>26</v>
      </c>
      <c r="K187" s="1">
        <v>2023</v>
      </c>
      <c r="L187" s="1">
        <v>2</v>
      </c>
      <c r="M187" s="1" t="s">
        <v>27</v>
      </c>
      <c r="N187" s="1" t="s">
        <v>28</v>
      </c>
      <c r="O187" s="1" t="s">
        <v>29</v>
      </c>
      <c r="P187" s="1" t="s">
        <v>65</v>
      </c>
      <c r="Q187" s="1" t="s">
        <v>566</v>
      </c>
    </row>
    <row r="188" spans="1:17" ht="15.75" customHeight="1" x14ac:dyDescent="0.25">
      <c r="A188" s="1" t="s">
        <v>467</v>
      </c>
      <c r="B188" s="1" t="s">
        <v>18</v>
      </c>
      <c r="C188" s="1" t="s">
        <v>19</v>
      </c>
      <c r="D188" s="1" t="s">
        <v>20</v>
      </c>
      <c r="E188" s="1" t="s">
        <v>86</v>
      </c>
      <c r="F188" s="1" t="s">
        <v>22</v>
      </c>
      <c r="G188" s="1" t="s">
        <v>223</v>
      </c>
      <c r="H188" s="1" t="s">
        <v>229</v>
      </c>
      <c r="I188" s="1" t="s">
        <v>468</v>
      </c>
      <c r="J188" s="1" t="s">
        <v>26</v>
      </c>
      <c r="K188" s="1">
        <v>2025</v>
      </c>
      <c r="L188" s="1">
        <v>8</v>
      </c>
      <c r="M188" s="1" t="s">
        <v>89</v>
      </c>
      <c r="N188" s="1" t="s">
        <v>28</v>
      </c>
      <c r="O188" s="1" t="s">
        <v>29</v>
      </c>
      <c r="P188" s="1" t="s">
        <v>226</v>
      </c>
      <c r="Q188" s="1" t="s">
        <v>567</v>
      </c>
    </row>
    <row r="189" spans="1:17" ht="15.75" customHeight="1" x14ac:dyDescent="0.25">
      <c r="A189" s="1" t="s">
        <v>32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22</v>
      </c>
      <c r="G189" s="1" t="s">
        <v>75</v>
      </c>
      <c r="H189" s="1" t="s">
        <v>568</v>
      </c>
      <c r="I189" s="1" t="s">
        <v>569</v>
      </c>
      <c r="J189" s="1" t="s">
        <v>26</v>
      </c>
      <c r="K189" s="1">
        <v>2023</v>
      </c>
      <c r="L189" s="1">
        <v>2</v>
      </c>
      <c r="M189" s="1" t="s">
        <v>27</v>
      </c>
      <c r="N189" s="1" t="s">
        <v>28</v>
      </c>
      <c r="O189" s="1" t="s">
        <v>29</v>
      </c>
      <c r="P189" s="1" t="s">
        <v>78</v>
      </c>
      <c r="Q189" s="1" t="s">
        <v>570</v>
      </c>
    </row>
    <row r="190" spans="1:17" ht="15.75" customHeight="1" x14ac:dyDescent="0.25">
      <c r="A190" s="1" t="s">
        <v>375</v>
      </c>
      <c r="B190" s="1" t="s">
        <v>18</v>
      </c>
      <c r="C190" s="1" t="s">
        <v>19</v>
      </c>
      <c r="D190" s="1" t="s">
        <v>20</v>
      </c>
      <c r="E190" s="1" t="s">
        <v>21</v>
      </c>
      <c r="F190" s="1" t="s">
        <v>22</v>
      </c>
      <c r="G190" s="1" t="s">
        <v>75</v>
      </c>
      <c r="H190" s="1" t="s">
        <v>340</v>
      </c>
      <c r="I190" s="1" t="s">
        <v>341</v>
      </c>
      <c r="J190" s="1" t="s">
        <v>26</v>
      </c>
      <c r="K190" s="1">
        <v>2023</v>
      </c>
      <c r="L190" s="1">
        <v>2</v>
      </c>
      <c r="M190" s="1" t="s">
        <v>27</v>
      </c>
      <c r="N190" s="1" t="s">
        <v>28</v>
      </c>
      <c r="O190" s="1" t="s">
        <v>29</v>
      </c>
      <c r="P190" s="1" t="s">
        <v>78</v>
      </c>
      <c r="Q190" s="1" t="s">
        <v>571</v>
      </c>
    </row>
    <row r="191" spans="1:17" ht="15.75" customHeight="1" x14ac:dyDescent="0.25">
      <c r="A191" s="1" t="s">
        <v>572</v>
      </c>
      <c r="B191" s="1" t="s">
        <v>18</v>
      </c>
      <c r="C191" s="1" t="s">
        <v>19</v>
      </c>
      <c r="D191" s="1" t="s">
        <v>20</v>
      </c>
      <c r="E191" s="1" t="s">
        <v>21</v>
      </c>
      <c r="F191" s="1" t="s">
        <v>22</v>
      </c>
      <c r="G191" s="1" t="s">
        <v>282</v>
      </c>
      <c r="H191" s="1" t="s">
        <v>283</v>
      </c>
      <c r="I191" s="1" t="s">
        <v>284</v>
      </c>
      <c r="J191" s="1" t="s">
        <v>26</v>
      </c>
      <c r="K191" s="1">
        <v>2023</v>
      </c>
      <c r="L191" s="1">
        <v>2</v>
      </c>
      <c r="M191" s="1" t="s">
        <v>27</v>
      </c>
      <c r="N191" s="1" t="s">
        <v>28</v>
      </c>
      <c r="O191" s="1" t="s">
        <v>29</v>
      </c>
      <c r="P191" s="1" t="s">
        <v>285</v>
      </c>
      <c r="Q191" s="1" t="s">
        <v>573</v>
      </c>
    </row>
    <row r="192" spans="1:17" ht="15.75" customHeight="1" x14ac:dyDescent="0.25">
      <c r="A192" s="1" t="s">
        <v>212</v>
      </c>
      <c r="B192" s="1" t="s">
        <v>18</v>
      </c>
      <c r="C192" s="1" t="s">
        <v>19</v>
      </c>
      <c r="D192" s="1" t="s">
        <v>20</v>
      </c>
      <c r="E192" s="1" t="s">
        <v>21</v>
      </c>
      <c r="F192" s="1" t="s">
        <v>22</v>
      </c>
      <c r="G192" s="1" t="s">
        <v>39</v>
      </c>
      <c r="H192" s="1" t="s">
        <v>213</v>
      </c>
      <c r="I192" s="1" t="s">
        <v>214</v>
      </c>
      <c r="J192" s="1" t="s">
        <v>26</v>
      </c>
      <c r="K192" s="1">
        <v>2023</v>
      </c>
      <c r="L192" s="1">
        <v>2</v>
      </c>
      <c r="M192" s="1" t="s">
        <v>27</v>
      </c>
      <c r="N192" s="1" t="s">
        <v>28</v>
      </c>
      <c r="O192" s="1" t="s">
        <v>29</v>
      </c>
      <c r="P192" s="1" t="s">
        <v>42</v>
      </c>
      <c r="Q192" s="1" t="s">
        <v>574</v>
      </c>
    </row>
    <row r="193" spans="1:17" ht="15.75" customHeight="1" x14ac:dyDescent="0.25">
      <c r="A193" s="1" t="s">
        <v>313</v>
      </c>
      <c r="B193" s="1" t="s">
        <v>18</v>
      </c>
      <c r="C193" s="1" t="s">
        <v>19</v>
      </c>
      <c r="D193" s="1" t="s">
        <v>20</v>
      </c>
      <c r="E193" s="1" t="s">
        <v>21</v>
      </c>
      <c r="F193" s="1" t="s">
        <v>22</v>
      </c>
      <c r="G193" s="1" t="s">
        <v>314</v>
      </c>
      <c r="H193" s="1" t="s">
        <v>455</v>
      </c>
      <c r="I193" s="1" t="s">
        <v>456</v>
      </c>
      <c r="J193" s="1" t="s">
        <v>26</v>
      </c>
      <c r="K193" s="1">
        <v>2023</v>
      </c>
      <c r="L193" s="1">
        <v>2</v>
      </c>
      <c r="M193" s="1" t="s">
        <v>27</v>
      </c>
      <c r="N193" s="1" t="s">
        <v>28</v>
      </c>
      <c r="O193" s="1" t="s">
        <v>29</v>
      </c>
      <c r="P193" s="1" t="s">
        <v>317</v>
      </c>
      <c r="Q193" s="1" t="s">
        <v>575</v>
      </c>
    </row>
    <row r="194" spans="1:17" ht="15.75" customHeight="1" x14ac:dyDescent="0.25">
      <c r="A194" s="1" t="s">
        <v>252</v>
      </c>
      <c r="B194" s="1" t="s">
        <v>18</v>
      </c>
      <c r="C194" s="1" t="s">
        <v>19</v>
      </c>
      <c r="D194" s="1" t="s">
        <v>20</v>
      </c>
      <c r="E194" s="1" t="s">
        <v>21</v>
      </c>
      <c r="F194" s="1" t="s">
        <v>22</v>
      </c>
      <c r="G194" s="1" t="s">
        <v>167</v>
      </c>
      <c r="H194" s="1" t="s">
        <v>420</v>
      </c>
      <c r="I194" s="1" t="s">
        <v>421</v>
      </c>
      <c r="J194" s="1" t="s">
        <v>26</v>
      </c>
      <c r="K194" s="1">
        <v>2023</v>
      </c>
      <c r="L194" s="1">
        <v>2</v>
      </c>
      <c r="M194" s="1" t="s">
        <v>27</v>
      </c>
      <c r="N194" s="1" t="s">
        <v>28</v>
      </c>
      <c r="O194" s="1" t="s">
        <v>29</v>
      </c>
      <c r="P194" s="1" t="s">
        <v>170</v>
      </c>
      <c r="Q194" s="1" t="s">
        <v>576</v>
      </c>
    </row>
    <row r="195" spans="1:17" ht="15.75" customHeight="1" x14ac:dyDescent="0.25">
      <c r="A195" s="1" t="s">
        <v>577</v>
      </c>
      <c r="B195" s="1" t="s">
        <v>18</v>
      </c>
      <c r="C195" s="1" t="s">
        <v>19</v>
      </c>
      <c r="D195" s="1" t="s">
        <v>20</v>
      </c>
      <c r="E195" s="1" t="s">
        <v>86</v>
      </c>
      <c r="F195" s="1" t="s">
        <v>22</v>
      </c>
      <c r="G195" s="1" t="s">
        <v>186</v>
      </c>
      <c r="H195" s="1" t="s">
        <v>529</v>
      </c>
      <c r="I195" s="1" t="s">
        <v>530</v>
      </c>
      <c r="J195" s="1" t="s">
        <v>189</v>
      </c>
      <c r="K195" s="1">
        <v>2023</v>
      </c>
      <c r="L195" s="1">
        <v>3</v>
      </c>
      <c r="M195" s="1" t="s">
        <v>89</v>
      </c>
      <c r="N195" s="1" t="s">
        <v>28</v>
      </c>
      <c r="O195" s="1" t="s">
        <v>29</v>
      </c>
      <c r="P195" s="1" t="s">
        <v>190</v>
      </c>
      <c r="Q195" s="1" t="s">
        <v>578</v>
      </c>
    </row>
    <row r="196" spans="1:17" ht="15.75" customHeight="1" x14ac:dyDescent="0.25">
      <c r="A196" s="1" t="s">
        <v>579</v>
      </c>
      <c r="B196" s="1" t="s">
        <v>18</v>
      </c>
      <c r="C196" s="1" t="s">
        <v>19</v>
      </c>
      <c r="D196" s="1" t="s">
        <v>20</v>
      </c>
      <c r="E196" s="1" t="s">
        <v>86</v>
      </c>
      <c r="F196" s="1" t="s">
        <v>22</v>
      </c>
      <c r="G196" s="1" t="s">
        <v>186</v>
      </c>
      <c r="H196" s="1" t="s">
        <v>187</v>
      </c>
      <c r="I196" s="1" t="s">
        <v>188</v>
      </c>
      <c r="J196" s="1" t="s">
        <v>189</v>
      </c>
      <c r="K196" s="1">
        <v>2023</v>
      </c>
      <c r="L196" s="1">
        <v>3</v>
      </c>
      <c r="M196" s="1" t="s">
        <v>89</v>
      </c>
      <c r="N196" s="1" t="s">
        <v>28</v>
      </c>
      <c r="O196" s="1" t="s">
        <v>29</v>
      </c>
      <c r="P196" s="1" t="s">
        <v>190</v>
      </c>
      <c r="Q196" s="1" t="s">
        <v>580</v>
      </c>
    </row>
    <row r="197" spans="1:17" ht="15.75" customHeight="1" x14ac:dyDescent="0.25">
      <c r="A197" s="1" t="s">
        <v>581</v>
      </c>
      <c r="B197" s="1" t="s">
        <v>18</v>
      </c>
      <c r="C197" s="1" t="s">
        <v>19</v>
      </c>
      <c r="D197" s="1" t="s">
        <v>20</v>
      </c>
      <c r="E197" s="1" t="s">
        <v>21</v>
      </c>
      <c r="F197" s="1" t="s">
        <v>22</v>
      </c>
      <c r="G197" s="1" t="s">
        <v>33</v>
      </c>
      <c r="H197" s="1" t="s">
        <v>34</v>
      </c>
      <c r="I197" s="1" t="s">
        <v>35</v>
      </c>
      <c r="J197" s="1" t="s">
        <v>64</v>
      </c>
      <c r="K197" s="1">
        <v>2023</v>
      </c>
      <c r="L197" s="1">
        <v>3</v>
      </c>
      <c r="M197" s="1" t="s">
        <v>27</v>
      </c>
      <c r="N197" s="1" t="s">
        <v>28</v>
      </c>
      <c r="O197" s="1" t="s">
        <v>29</v>
      </c>
      <c r="P197" s="1" t="s">
        <v>36</v>
      </c>
      <c r="Q197" s="1" t="s">
        <v>582</v>
      </c>
    </row>
    <row r="198" spans="1:17" ht="15.75" customHeight="1" x14ac:dyDescent="0.25">
      <c r="A198" s="1" t="s">
        <v>583</v>
      </c>
      <c r="B198" s="1" t="s">
        <v>18</v>
      </c>
      <c r="C198" s="1" t="s">
        <v>19</v>
      </c>
      <c r="D198" s="1" t="s">
        <v>20</v>
      </c>
      <c r="E198" s="1" t="s">
        <v>21</v>
      </c>
      <c r="F198" s="1" t="s">
        <v>22</v>
      </c>
      <c r="G198" s="1" t="s">
        <v>61</v>
      </c>
      <c r="H198" s="1" t="s">
        <v>330</v>
      </c>
      <c r="I198" s="1" t="s">
        <v>331</v>
      </c>
      <c r="J198" s="1" t="s">
        <v>64</v>
      </c>
      <c r="K198" s="1">
        <v>2023</v>
      </c>
      <c r="L198" s="1">
        <v>3</v>
      </c>
      <c r="M198" s="1" t="s">
        <v>27</v>
      </c>
      <c r="N198" s="1" t="s">
        <v>28</v>
      </c>
      <c r="O198" s="1" t="s">
        <v>29</v>
      </c>
      <c r="P198" s="1" t="s">
        <v>65</v>
      </c>
      <c r="Q198" s="1" t="s">
        <v>584</v>
      </c>
    </row>
    <row r="199" spans="1:17" ht="15.75" customHeight="1" x14ac:dyDescent="0.25">
      <c r="A199" s="1" t="s">
        <v>85</v>
      </c>
      <c r="B199" s="1" t="s">
        <v>18</v>
      </c>
      <c r="C199" s="1" t="s">
        <v>19</v>
      </c>
      <c r="D199" s="1" t="s">
        <v>20</v>
      </c>
      <c r="E199" s="1" t="s">
        <v>21</v>
      </c>
      <c r="F199" s="1" t="s">
        <v>22</v>
      </c>
      <c r="G199" s="1" t="s">
        <v>61</v>
      </c>
      <c r="H199" s="1" t="s">
        <v>372</v>
      </c>
      <c r="I199" s="1" t="s">
        <v>373</v>
      </c>
      <c r="J199" s="1" t="s">
        <v>26</v>
      </c>
      <c r="K199" s="1">
        <v>2023</v>
      </c>
      <c r="L199" s="1">
        <v>3</v>
      </c>
      <c r="M199" s="1" t="s">
        <v>27</v>
      </c>
      <c r="N199" s="1" t="s">
        <v>28</v>
      </c>
      <c r="O199" s="1" t="s">
        <v>29</v>
      </c>
      <c r="P199" s="1" t="s">
        <v>65</v>
      </c>
      <c r="Q199" s="1" t="s">
        <v>585</v>
      </c>
    </row>
    <row r="200" spans="1:17" ht="15.75" customHeight="1" x14ac:dyDescent="0.25">
      <c r="A200" s="1" t="s">
        <v>74</v>
      </c>
      <c r="B200" s="1" t="s">
        <v>18</v>
      </c>
      <c r="C200" s="1" t="s">
        <v>19</v>
      </c>
      <c r="D200" s="1" t="s">
        <v>20</v>
      </c>
      <c r="E200" s="1" t="s">
        <v>21</v>
      </c>
      <c r="F200" s="1" t="s">
        <v>22</v>
      </c>
      <c r="G200" s="1" t="s">
        <v>75</v>
      </c>
      <c r="H200" s="1" t="s">
        <v>76</v>
      </c>
      <c r="I200" s="1" t="s">
        <v>77</v>
      </c>
      <c r="J200" s="1" t="s">
        <v>26</v>
      </c>
      <c r="K200" s="1">
        <v>2023</v>
      </c>
      <c r="L200" s="1">
        <v>3</v>
      </c>
      <c r="M200" s="1" t="s">
        <v>27</v>
      </c>
      <c r="N200" s="1" t="s">
        <v>28</v>
      </c>
      <c r="O200" s="1" t="s">
        <v>29</v>
      </c>
      <c r="P200" s="1" t="s">
        <v>78</v>
      </c>
      <c r="Q200" s="1" t="s">
        <v>586</v>
      </c>
    </row>
    <row r="201" spans="1:17" ht="15.75" customHeight="1" x14ac:dyDescent="0.25">
      <c r="A201" s="1" t="s">
        <v>80</v>
      </c>
      <c r="B201" s="1" t="s">
        <v>18</v>
      </c>
      <c r="C201" s="1" t="s">
        <v>19</v>
      </c>
      <c r="D201" s="1" t="s">
        <v>20</v>
      </c>
      <c r="E201" s="1" t="s">
        <v>21</v>
      </c>
      <c r="F201" s="1" t="s">
        <v>22</v>
      </c>
      <c r="G201" s="1" t="s">
        <v>75</v>
      </c>
      <c r="H201" s="1" t="s">
        <v>81</v>
      </c>
      <c r="I201" s="1" t="s">
        <v>82</v>
      </c>
      <c r="J201" s="1" t="s">
        <v>26</v>
      </c>
      <c r="K201" s="1">
        <v>2023</v>
      </c>
      <c r="L201" s="1">
        <v>3</v>
      </c>
      <c r="M201" s="1" t="s">
        <v>27</v>
      </c>
      <c r="N201" s="1" t="s">
        <v>28</v>
      </c>
      <c r="O201" s="1" t="s">
        <v>29</v>
      </c>
      <c r="P201" s="1" t="s">
        <v>78</v>
      </c>
      <c r="Q201" s="1" t="s">
        <v>587</v>
      </c>
    </row>
    <row r="202" spans="1:17" ht="15.75" customHeight="1" x14ac:dyDescent="0.25">
      <c r="A202" s="1" t="s">
        <v>54</v>
      </c>
      <c r="B202" s="1" t="s">
        <v>18</v>
      </c>
      <c r="C202" s="1" t="s">
        <v>19</v>
      </c>
      <c r="D202" s="1" t="s">
        <v>20</v>
      </c>
      <c r="E202" s="1" t="s">
        <v>21</v>
      </c>
      <c r="F202" s="1" t="s">
        <v>22</v>
      </c>
      <c r="G202" s="1" t="s">
        <v>39</v>
      </c>
      <c r="H202" s="1" t="s">
        <v>432</v>
      </c>
      <c r="I202" s="1" t="s">
        <v>433</v>
      </c>
      <c r="J202" s="1" t="s">
        <v>26</v>
      </c>
      <c r="K202" s="1">
        <v>2023</v>
      </c>
      <c r="L202" s="1">
        <v>3</v>
      </c>
      <c r="M202" s="1" t="s">
        <v>27</v>
      </c>
      <c r="N202" s="1" t="s">
        <v>28</v>
      </c>
      <c r="O202" s="1" t="s">
        <v>29</v>
      </c>
      <c r="P202" s="1" t="s">
        <v>42</v>
      </c>
      <c r="Q202" s="1" t="s">
        <v>588</v>
      </c>
    </row>
    <row r="203" spans="1:17" ht="15.75" customHeight="1" x14ac:dyDescent="0.25">
      <c r="A203" s="1" t="s">
        <v>405</v>
      </c>
      <c r="B203" s="1" t="s">
        <v>18</v>
      </c>
      <c r="C203" s="1" t="s">
        <v>19</v>
      </c>
      <c r="D203" s="1" t="s">
        <v>20</v>
      </c>
      <c r="E203" s="1" t="s">
        <v>21</v>
      </c>
      <c r="F203" s="1" t="s">
        <v>22</v>
      </c>
      <c r="G203" s="1" t="s">
        <v>104</v>
      </c>
      <c r="H203" s="1" t="s">
        <v>406</v>
      </c>
      <c r="I203" s="1" t="s">
        <v>407</v>
      </c>
      <c r="J203" s="1" t="s">
        <v>26</v>
      </c>
      <c r="K203" s="1">
        <v>2023</v>
      </c>
      <c r="L203" s="1">
        <v>3</v>
      </c>
      <c r="M203" s="1" t="s">
        <v>27</v>
      </c>
      <c r="N203" s="1" t="s">
        <v>28</v>
      </c>
      <c r="O203" s="1" t="s">
        <v>29</v>
      </c>
      <c r="P203" s="1" t="s">
        <v>107</v>
      </c>
      <c r="Q203" s="1" t="s">
        <v>589</v>
      </c>
    </row>
    <row r="204" spans="1:17" ht="15.75" customHeight="1" x14ac:dyDescent="0.25">
      <c r="A204" s="1" t="s">
        <v>151</v>
      </c>
      <c r="B204" s="1" t="s">
        <v>18</v>
      </c>
      <c r="C204" s="1" t="s">
        <v>19</v>
      </c>
      <c r="D204" s="1" t="s">
        <v>20</v>
      </c>
      <c r="E204" s="1" t="s">
        <v>21</v>
      </c>
      <c r="F204" s="1" t="s">
        <v>22</v>
      </c>
      <c r="G204" s="1" t="s">
        <v>152</v>
      </c>
      <c r="H204" s="1" t="s">
        <v>590</v>
      </c>
      <c r="I204" s="1" t="s">
        <v>591</v>
      </c>
      <c r="J204" s="1" t="s">
        <v>26</v>
      </c>
      <c r="K204" s="1">
        <v>2023</v>
      </c>
      <c r="L204" s="1">
        <v>3</v>
      </c>
      <c r="M204" s="1" t="s">
        <v>27</v>
      </c>
      <c r="N204" s="1" t="s">
        <v>28</v>
      </c>
      <c r="O204" s="1" t="s">
        <v>29</v>
      </c>
      <c r="P204" s="1" t="s">
        <v>155</v>
      </c>
      <c r="Q204" s="1" t="s">
        <v>592</v>
      </c>
    </row>
    <row r="205" spans="1:17" ht="15.75" customHeight="1" x14ac:dyDescent="0.25">
      <c r="A205" s="1" t="s">
        <v>323</v>
      </c>
      <c r="B205" s="1" t="s">
        <v>18</v>
      </c>
      <c r="C205" s="1" t="s">
        <v>19</v>
      </c>
      <c r="D205" s="1" t="s">
        <v>20</v>
      </c>
      <c r="E205" s="1" t="s">
        <v>86</v>
      </c>
      <c r="F205" s="1" t="s">
        <v>22</v>
      </c>
      <c r="G205" s="1" t="s">
        <v>324</v>
      </c>
      <c r="H205" s="1" t="s">
        <v>325</v>
      </c>
      <c r="I205" s="1" t="s">
        <v>326</v>
      </c>
      <c r="J205" s="1" t="s">
        <v>26</v>
      </c>
      <c r="K205" s="1">
        <v>2023</v>
      </c>
      <c r="L205" s="1">
        <v>4</v>
      </c>
      <c r="M205" s="1" t="s">
        <v>89</v>
      </c>
      <c r="N205" s="1" t="s">
        <v>28</v>
      </c>
      <c r="O205" s="1" t="s">
        <v>29</v>
      </c>
      <c r="P205" s="1" t="s">
        <v>327</v>
      </c>
      <c r="Q205" s="1" t="s">
        <v>593</v>
      </c>
    </row>
    <row r="206" spans="1:17" ht="15.75" customHeight="1" x14ac:dyDescent="0.25">
      <c r="A206" s="1" t="s">
        <v>85</v>
      </c>
      <c r="B206" s="1" t="s">
        <v>18</v>
      </c>
      <c r="C206" s="1" t="s">
        <v>19</v>
      </c>
      <c r="D206" s="1" t="s">
        <v>20</v>
      </c>
      <c r="E206" s="1" t="s">
        <v>21</v>
      </c>
      <c r="F206" s="1" t="s">
        <v>22</v>
      </c>
      <c r="G206" s="1" t="s">
        <v>61</v>
      </c>
      <c r="H206" s="1" t="s">
        <v>513</v>
      </c>
      <c r="I206" s="1" t="s">
        <v>514</v>
      </c>
      <c r="J206" s="1" t="s">
        <v>26</v>
      </c>
      <c r="K206" s="1">
        <v>2023</v>
      </c>
      <c r="L206" s="1">
        <v>4</v>
      </c>
      <c r="M206" s="1" t="s">
        <v>27</v>
      </c>
      <c r="N206" s="1" t="s">
        <v>28</v>
      </c>
      <c r="O206" s="1" t="s">
        <v>29</v>
      </c>
      <c r="P206" s="1" t="s">
        <v>65</v>
      </c>
      <c r="Q206" s="1" t="s">
        <v>594</v>
      </c>
    </row>
    <row r="207" spans="1:17" ht="15.75" customHeight="1" x14ac:dyDescent="0.25">
      <c r="A207" s="1" t="s">
        <v>595</v>
      </c>
      <c r="B207" s="1" t="s">
        <v>18</v>
      </c>
      <c r="C207" s="1" t="s">
        <v>19</v>
      </c>
      <c r="D207" s="1" t="s">
        <v>20</v>
      </c>
      <c r="E207" s="1" t="s">
        <v>21</v>
      </c>
      <c r="F207" s="1" t="s">
        <v>22</v>
      </c>
      <c r="G207" s="1" t="s">
        <v>596</v>
      </c>
      <c r="H207" s="1" t="s">
        <v>597</v>
      </c>
      <c r="I207" s="1" t="s">
        <v>598</v>
      </c>
      <c r="J207" s="1" t="s">
        <v>26</v>
      </c>
      <c r="K207" s="1">
        <v>2023</v>
      </c>
      <c r="L207" s="1">
        <v>4</v>
      </c>
      <c r="M207" s="1" t="s">
        <v>27</v>
      </c>
      <c r="N207" s="1" t="s">
        <v>28</v>
      </c>
      <c r="O207" s="1" t="s">
        <v>29</v>
      </c>
      <c r="P207" s="1" t="s">
        <v>599</v>
      </c>
      <c r="Q207" s="1" t="s">
        <v>600</v>
      </c>
    </row>
    <row r="208" spans="1:17" ht="15.75" customHeight="1" x14ac:dyDescent="0.25">
      <c r="A208" s="1" t="s">
        <v>91</v>
      </c>
      <c r="B208" s="1" t="s">
        <v>18</v>
      </c>
      <c r="C208" s="1" t="s">
        <v>19</v>
      </c>
      <c r="D208" s="1" t="s">
        <v>20</v>
      </c>
      <c r="E208" s="1" t="s">
        <v>86</v>
      </c>
      <c r="F208" s="1" t="s">
        <v>22</v>
      </c>
      <c r="G208" s="1" t="s">
        <v>92</v>
      </c>
      <c r="H208" s="1" t="s">
        <v>93</v>
      </c>
      <c r="I208" s="1" t="s">
        <v>94</v>
      </c>
      <c r="J208" s="1" t="s">
        <v>26</v>
      </c>
      <c r="K208" s="1">
        <v>2023</v>
      </c>
      <c r="L208" s="1">
        <v>5</v>
      </c>
      <c r="M208" s="1" t="s">
        <v>89</v>
      </c>
      <c r="N208" s="1" t="s">
        <v>28</v>
      </c>
      <c r="O208" s="1" t="s">
        <v>29</v>
      </c>
      <c r="P208" s="1" t="s">
        <v>95</v>
      </c>
      <c r="Q208" s="1" t="s">
        <v>601</v>
      </c>
    </row>
    <row r="209" spans="1:17" ht="15.75" customHeight="1" x14ac:dyDescent="0.25">
      <c r="A209" s="1" t="s">
        <v>602</v>
      </c>
      <c r="B209" s="1" t="s">
        <v>18</v>
      </c>
      <c r="C209" s="1" t="s">
        <v>19</v>
      </c>
      <c r="D209" s="1" t="s">
        <v>20</v>
      </c>
      <c r="E209" s="1" t="s">
        <v>86</v>
      </c>
      <c r="F209" s="1" t="s">
        <v>22</v>
      </c>
      <c r="G209" s="1" t="s">
        <v>603</v>
      </c>
      <c r="H209" s="1" t="s">
        <v>604</v>
      </c>
      <c r="I209" s="1" t="s">
        <v>605</v>
      </c>
      <c r="J209" s="1" t="s">
        <v>26</v>
      </c>
      <c r="K209" s="1">
        <v>2023</v>
      </c>
      <c r="L209" s="1">
        <v>5</v>
      </c>
      <c r="M209" s="1" t="s">
        <v>89</v>
      </c>
      <c r="N209" s="1" t="s">
        <v>28</v>
      </c>
      <c r="O209" s="1" t="s">
        <v>29</v>
      </c>
      <c r="P209" s="1" t="s">
        <v>606</v>
      </c>
      <c r="Q209" s="1" t="s">
        <v>607</v>
      </c>
    </row>
    <row r="210" spans="1:17" ht="15.75" customHeight="1" x14ac:dyDescent="0.25">
      <c r="A210" s="1" t="s">
        <v>85</v>
      </c>
      <c r="B210" s="1" t="s">
        <v>18</v>
      </c>
      <c r="C210" s="1" t="s">
        <v>19</v>
      </c>
      <c r="D210" s="1" t="s">
        <v>20</v>
      </c>
      <c r="E210" s="1" t="s">
        <v>21</v>
      </c>
      <c r="F210" s="1" t="s">
        <v>22</v>
      </c>
      <c r="G210" s="1" t="s">
        <v>61</v>
      </c>
      <c r="H210" s="1" t="s">
        <v>372</v>
      </c>
      <c r="I210" s="1" t="s">
        <v>373</v>
      </c>
      <c r="J210" s="1" t="s">
        <v>26</v>
      </c>
      <c r="K210" s="1">
        <v>2023</v>
      </c>
      <c r="L210" s="1">
        <v>5</v>
      </c>
      <c r="M210" s="1" t="s">
        <v>27</v>
      </c>
      <c r="N210" s="1" t="s">
        <v>28</v>
      </c>
      <c r="O210" s="1" t="s">
        <v>29</v>
      </c>
      <c r="P210" s="1" t="s">
        <v>65</v>
      </c>
      <c r="Q210" s="1" t="s">
        <v>608</v>
      </c>
    </row>
    <row r="211" spans="1:17" ht="15.75" customHeight="1" x14ac:dyDescent="0.25">
      <c r="A211" s="1" t="s">
        <v>109</v>
      </c>
      <c r="B211" s="1" t="s">
        <v>18</v>
      </c>
      <c r="C211" s="1" t="s">
        <v>19</v>
      </c>
      <c r="D211" s="1" t="s">
        <v>20</v>
      </c>
      <c r="E211" s="1" t="s">
        <v>21</v>
      </c>
      <c r="F211" s="1" t="s">
        <v>22</v>
      </c>
      <c r="G211" s="1" t="s">
        <v>303</v>
      </c>
      <c r="H211" s="1" t="s">
        <v>304</v>
      </c>
      <c r="I211" s="1" t="s">
        <v>305</v>
      </c>
      <c r="J211" s="1" t="s">
        <v>26</v>
      </c>
      <c r="K211" s="1">
        <v>2023</v>
      </c>
      <c r="L211" s="1">
        <v>5</v>
      </c>
      <c r="M211" s="1" t="s">
        <v>27</v>
      </c>
      <c r="N211" s="1" t="s">
        <v>28</v>
      </c>
      <c r="O211" s="1" t="s">
        <v>29</v>
      </c>
      <c r="P211" s="1" t="s">
        <v>306</v>
      </c>
      <c r="Q211" s="1" t="s">
        <v>609</v>
      </c>
    </row>
    <row r="212" spans="1:17" ht="15.75" customHeight="1" x14ac:dyDescent="0.25">
      <c r="A212" s="1" t="s">
        <v>398</v>
      </c>
      <c r="B212" s="1" t="s">
        <v>18</v>
      </c>
      <c r="C212" s="1" t="s">
        <v>19</v>
      </c>
      <c r="D212" s="1" t="s">
        <v>20</v>
      </c>
      <c r="E212" s="1" t="s">
        <v>21</v>
      </c>
      <c r="F212" s="1" t="s">
        <v>22</v>
      </c>
      <c r="G212" s="1" t="s">
        <v>75</v>
      </c>
      <c r="H212" s="1" t="s">
        <v>610</v>
      </c>
      <c r="I212" s="1" t="s">
        <v>611</v>
      </c>
      <c r="J212" s="1" t="s">
        <v>26</v>
      </c>
      <c r="K212" s="1">
        <v>2023</v>
      </c>
      <c r="L212" s="1">
        <v>5</v>
      </c>
      <c r="M212" s="1" t="s">
        <v>27</v>
      </c>
      <c r="N212" s="1" t="s">
        <v>28</v>
      </c>
      <c r="O212" s="1" t="s">
        <v>29</v>
      </c>
      <c r="P212" s="1" t="s">
        <v>78</v>
      </c>
      <c r="Q212" s="1" t="s">
        <v>612</v>
      </c>
    </row>
    <row r="213" spans="1:17" ht="15.75" customHeight="1" x14ac:dyDescent="0.25">
      <c r="A213" s="1" t="s">
        <v>398</v>
      </c>
      <c r="B213" s="1" t="s">
        <v>18</v>
      </c>
      <c r="C213" s="1" t="s">
        <v>19</v>
      </c>
      <c r="D213" s="1" t="s">
        <v>20</v>
      </c>
      <c r="E213" s="1" t="s">
        <v>21</v>
      </c>
      <c r="F213" s="1" t="s">
        <v>22</v>
      </c>
      <c r="G213" s="1" t="s">
        <v>75</v>
      </c>
      <c r="H213" s="1" t="s">
        <v>399</v>
      </c>
      <c r="I213" s="1" t="s">
        <v>400</v>
      </c>
      <c r="J213" s="1" t="s">
        <v>26</v>
      </c>
      <c r="K213" s="1">
        <v>2023</v>
      </c>
      <c r="L213" s="1">
        <v>5</v>
      </c>
      <c r="M213" s="1" t="s">
        <v>27</v>
      </c>
      <c r="N213" s="1" t="s">
        <v>28</v>
      </c>
      <c r="O213" s="1" t="s">
        <v>29</v>
      </c>
      <c r="P213" s="1" t="s">
        <v>78</v>
      </c>
      <c r="Q213" s="1" t="s">
        <v>613</v>
      </c>
    </row>
    <row r="214" spans="1:17" ht="15.75" customHeight="1" x14ac:dyDescent="0.25">
      <c r="A214" s="1" t="s">
        <v>80</v>
      </c>
      <c r="B214" s="1" t="s">
        <v>18</v>
      </c>
      <c r="C214" s="1" t="s">
        <v>19</v>
      </c>
      <c r="D214" s="1" t="s">
        <v>20</v>
      </c>
      <c r="E214" s="1" t="s">
        <v>21</v>
      </c>
      <c r="F214" s="1" t="s">
        <v>22</v>
      </c>
      <c r="G214" s="1" t="s">
        <v>75</v>
      </c>
      <c r="H214" s="1" t="s">
        <v>81</v>
      </c>
      <c r="I214" s="1" t="s">
        <v>82</v>
      </c>
      <c r="J214" s="1" t="s">
        <v>26</v>
      </c>
      <c r="K214" s="1">
        <v>2023</v>
      </c>
      <c r="L214" s="1">
        <v>5</v>
      </c>
      <c r="M214" s="1" t="s">
        <v>27</v>
      </c>
      <c r="N214" s="1" t="s">
        <v>28</v>
      </c>
      <c r="O214" s="1" t="s">
        <v>29</v>
      </c>
      <c r="P214" s="1" t="s">
        <v>78</v>
      </c>
      <c r="Q214" s="1" t="s">
        <v>614</v>
      </c>
    </row>
    <row r="215" spans="1:17" ht="15.75" customHeight="1" x14ac:dyDescent="0.25">
      <c r="A215" s="1" t="s">
        <v>615</v>
      </c>
      <c r="B215" s="1" t="s">
        <v>18</v>
      </c>
      <c r="C215" s="1" t="s">
        <v>19</v>
      </c>
      <c r="D215" s="1" t="s">
        <v>20</v>
      </c>
      <c r="E215" s="1" t="s">
        <v>21</v>
      </c>
      <c r="F215" s="1" t="s">
        <v>22</v>
      </c>
      <c r="G215" s="1" t="s">
        <v>152</v>
      </c>
      <c r="H215" s="1" t="s">
        <v>350</v>
      </c>
      <c r="I215" s="1" t="s">
        <v>351</v>
      </c>
      <c r="J215" s="1" t="s">
        <v>26</v>
      </c>
      <c r="K215" s="1">
        <v>2023</v>
      </c>
      <c r="L215" s="1">
        <v>5</v>
      </c>
      <c r="M215" s="1" t="s">
        <v>27</v>
      </c>
      <c r="N215" s="1" t="s">
        <v>28</v>
      </c>
      <c r="O215" s="1" t="s">
        <v>29</v>
      </c>
      <c r="P215" s="1" t="s">
        <v>155</v>
      </c>
      <c r="Q215" s="1" t="s">
        <v>616</v>
      </c>
    </row>
    <row r="216" spans="1:17" ht="15.75" customHeight="1" x14ac:dyDescent="0.25">
      <c r="A216" s="1" t="s">
        <v>291</v>
      </c>
      <c r="B216" s="1" t="s">
        <v>18</v>
      </c>
      <c r="C216" s="1" t="s">
        <v>19</v>
      </c>
      <c r="D216" s="1" t="s">
        <v>20</v>
      </c>
      <c r="E216" s="1" t="s">
        <v>21</v>
      </c>
      <c r="F216" s="1" t="s">
        <v>22</v>
      </c>
      <c r="G216" s="1" t="s">
        <v>167</v>
      </c>
      <c r="H216" s="1" t="s">
        <v>390</v>
      </c>
      <c r="I216" s="1" t="s">
        <v>391</v>
      </c>
      <c r="J216" s="1" t="s">
        <v>26</v>
      </c>
      <c r="K216" s="1">
        <v>2023</v>
      </c>
      <c r="L216" s="1">
        <v>5</v>
      </c>
      <c r="M216" s="1" t="s">
        <v>27</v>
      </c>
      <c r="N216" s="1" t="s">
        <v>28</v>
      </c>
      <c r="O216" s="1" t="s">
        <v>29</v>
      </c>
      <c r="P216" s="1" t="s">
        <v>170</v>
      </c>
      <c r="Q216" s="1" t="s">
        <v>617</v>
      </c>
    </row>
    <row r="217" spans="1:17" ht="15.75" customHeight="1" x14ac:dyDescent="0.25">
      <c r="A217" s="1" t="s">
        <v>291</v>
      </c>
      <c r="B217" s="1" t="s">
        <v>18</v>
      </c>
      <c r="C217" s="1" t="s">
        <v>19</v>
      </c>
      <c r="D217" s="1" t="s">
        <v>20</v>
      </c>
      <c r="E217" s="1" t="s">
        <v>21</v>
      </c>
      <c r="F217" s="1" t="s">
        <v>22</v>
      </c>
      <c r="G217" s="1" t="s">
        <v>167</v>
      </c>
      <c r="H217" s="1" t="s">
        <v>292</v>
      </c>
      <c r="I217" s="1" t="s">
        <v>293</v>
      </c>
      <c r="J217" s="1" t="s">
        <v>26</v>
      </c>
      <c r="K217" s="1">
        <v>2023</v>
      </c>
      <c r="L217" s="1">
        <v>5</v>
      </c>
      <c r="M217" s="1" t="s">
        <v>27</v>
      </c>
      <c r="N217" s="1" t="s">
        <v>28</v>
      </c>
      <c r="O217" s="1" t="s">
        <v>29</v>
      </c>
      <c r="P217" s="1" t="s">
        <v>170</v>
      </c>
      <c r="Q217" s="1" t="s">
        <v>618</v>
      </c>
    </row>
    <row r="218" spans="1:17" ht="15.75" customHeight="1" x14ac:dyDescent="0.25">
      <c r="A218" s="1" t="s">
        <v>411</v>
      </c>
      <c r="B218" s="1" t="s">
        <v>18</v>
      </c>
      <c r="C218" s="1" t="s">
        <v>19</v>
      </c>
      <c r="D218" s="1" t="s">
        <v>20</v>
      </c>
      <c r="E218" s="1" t="s">
        <v>86</v>
      </c>
      <c r="F218" s="1" t="s">
        <v>22</v>
      </c>
      <c r="G218" s="1" t="s">
        <v>223</v>
      </c>
      <c r="H218" s="1" t="s">
        <v>412</v>
      </c>
      <c r="I218" s="1" t="s">
        <v>413</v>
      </c>
      <c r="J218" s="1" t="s">
        <v>26</v>
      </c>
      <c r="K218" s="1">
        <v>2023</v>
      </c>
      <c r="L218" s="1">
        <v>6</v>
      </c>
      <c r="M218" s="1" t="s">
        <v>89</v>
      </c>
      <c r="N218" s="1" t="s">
        <v>28</v>
      </c>
      <c r="O218" s="1" t="s">
        <v>29</v>
      </c>
      <c r="P218" s="1" t="s">
        <v>226</v>
      </c>
      <c r="Q218" s="1" t="s">
        <v>619</v>
      </c>
    </row>
    <row r="219" spans="1:17" ht="15.75" customHeight="1" x14ac:dyDescent="0.25">
      <c r="A219" s="1" t="s">
        <v>297</v>
      </c>
      <c r="B219" s="1" t="s">
        <v>18</v>
      </c>
      <c r="C219" s="1" t="s">
        <v>19</v>
      </c>
      <c r="D219" s="1" t="s">
        <v>20</v>
      </c>
      <c r="E219" s="1" t="s">
        <v>86</v>
      </c>
      <c r="F219" s="1" t="s">
        <v>22</v>
      </c>
      <c r="G219" s="1" t="s">
        <v>298</v>
      </c>
      <c r="H219" s="2" t="s">
        <v>547</v>
      </c>
      <c r="I219" s="2" t="s">
        <v>548</v>
      </c>
      <c r="J219" s="1" t="s">
        <v>26</v>
      </c>
      <c r="K219" s="1">
        <v>2023</v>
      </c>
      <c r="L219" s="1">
        <v>6</v>
      </c>
      <c r="M219" s="1" t="s">
        <v>89</v>
      </c>
      <c r="N219" s="1" t="s">
        <v>28</v>
      </c>
      <c r="O219" s="1" t="s">
        <v>29</v>
      </c>
      <c r="P219" s="1" t="s">
        <v>301</v>
      </c>
      <c r="Q219" s="2" t="s">
        <v>620</v>
      </c>
    </row>
    <row r="220" spans="1:17" ht="15.75" customHeight="1" x14ac:dyDescent="0.25">
      <c r="A220" s="1" t="s">
        <v>621</v>
      </c>
      <c r="B220" s="1" t="s">
        <v>18</v>
      </c>
      <c r="C220" s="1" t="s">
        <v>19</v>
      </c>
      <c r="D220" s="1" t="s">
        <v>20</v>
      </c>
      <c r="E220" s="1" t="s">
        <v>86</v>
      </c>
      <c r="F220" s="1" t="s">
        <v>22</v>
      </c>
      <c r="G220" s="1" t="s">
        <v>180</v>
      </c>
      <c r="H220" s="1" t="s">
        <v>622</v>
      </c>
      <c r="I220" s="1" t="s">
        <v>623</v>
      </c>
      <c r="J220" s="1" t="s">
        <v>26</v>
      </c>
      <c r="K220" s="1">
        <v>2023</v>
      </c>
      <c r="L220" s="1">
        <v>6</v>
      </c>
      <c r="M220" s="1" t="s">
        <v>89</v>
      </c>
      <c r="N220" s="1" t="s">
        <v>28</v>
      </c>
      <c r="O220" s="1" t="s">
        <v>29</v>
      </c>
      <c r="P220" s="1" t="s">
        <v>183</v>
      </c>
      <c r="Q220" s="1" t="s">
        <v>624</v>
      </c>
    </row>
    <row r="221" spans="1:17" ht="15.75" customHeight="1" x14ac:dyDescent="0.25">
      <c r="A221" s="1" t="s">
        <v>625</v>
      </c>
      <c r="B221" s="1" t="s">
        <v>18</v>
      </c>
      <c r="C221" s="1" t="s">
        <v>19</v>
      </c>
      <c r="D221" s="1" t="s">
        <v>20</v>
      </c>
      <c r="E221" s="1" t="s">
        <v>21</v>
      </c>
      <c r="F221" s="1" t="s">
        <v>22</v>
      </c>
      <c r="G221" s="1" t="s">
        <v>223</v>
      </c>
      <c r="H221" s="1" t="s">
        <v>626</v>
      </c>
      <c r="I221" s="1" t="s">
        <v>627</v>
      </c>
      <c r="J221" s="1" t="s">
        <v>26</v>
      </c>
      <c r="K221" s="1">
        <v>2023</v>
      </c>
      <c r="L221" s="1">
        <v>6</v>
      </c>
      <c r="M221" s="1" t="s">
        <v>27</v>
      </c>
      <c r="N221" s="1" t="s">
        <v>28</v>
      </c>
      <c r="O221" s="1" t="s">
        <v>29</v>
      </c>
      <c r="P221" s="1" t="s">
        <v>226</v>
      </c>
      <c r="Q221" s="1" t="s">
        <v>628</v>
      </c>
    </row>
    <row r="222" spans="1:17" ht="15.75" customHeight="1" x14ac:dyDescent="0.25">
      <c r="A222" s="1" t="s">
        <v>398</v>
      </c>
      <c r="B222" s="1" t="s">
        <v>18</v>
      </c>
      <c r="C222" s="1" t="s">
        <v>19</v>
      </c>
      <c r="D222" s="1" t="s">
        <v>20</v>
      </c>
      <c r="E222" s="1" t="s">
        <v>21</v>
      </c>
      <c r="F222" s="1" t="s">
        <v>22</v>
      </c>
      <c r="G222" s="1" t="s">
        <v>334</v>
      </c>
      <c r="H222" s="1" t="s">
        <v>335</v>
      </c>
      <c r="I222" s="1" t="s">
        <v>336</v>
      </c>
      <c r="J222" s="1" t="s">
        <v>26</v>
      </c>
      <c r="K222" s="1">
        <v>2023</v>
      </c>
      <c r="L222" s="1">
        <v>6</v>
      </c>
      <c r="M222" s="1" t="s">
        <v>27</v>
      </c>
      <c r="N222" s="1" t="s">
        <v>28</v>
      </c>
      <c r="O222" s="1" t="s">
        <v>29</v>
      </c>
      <c r="P222" s="1" t="s">
        <v>337</v>
      </c>
      <c r="Q222" s="1" t="s">
        <v>629</v>
      </c>
    </row>
    <row r="223" spans="1:17" ht="15.75" customHeight="1" x14ac:dyDescent="0.25">
      <c r="A223" s="1" t="s">
        <v>398</v>
      </c>
      <c r="B223" s="1" t="s">
        <v>18</v>
      </c>
      <c r="C223" s="1" t="s">
        <v>19</v>
      </c>
      <c r="D223" s="1" t="s">
        <v>20</v>
      </c>
      <c r="E223" s="1" t="s">
        <v>21</v>
      </c>
      <c r="F223" s="1" t="s">
        <v>22</v>
      </c>
      <c r="G223" s="1" t="s">
        <v>75</v>
      </c>
      <c r="H223" s="1" t="s">
        <v>399</v>
      </c>
      <c r="I223" s="1" t="s">
        <v>400</v>
      </c>
      <c r="J223" s="1" t="s">
        <v>26</v>
      </c>
      <c r="K223" s="1">
        <v>2023</v>
      </c>
      <c r="L223" s="1">
        <v>6</v>
      </c>
      <c r="M223" s="1" t="s">
        <v>27</v>
      </c>
      <c r="N223" s="1" t="s">
        <v>28</v>
      </c>
      <c r="O223" s="1" t="s">
        <v>29</v>
      </c>
      <c r="P223" s="1" t="s">
        <v>78</v>
      </c>
      <c r="Q223" s="1" t="s">
        <v>630</v>
      </c>
    </row>
    <row r="224" spans="1:17" ht="15.75" customHeight="1" x14ac:dyDescent="0.25">
      <c r="A224" s="1" t="s">
        <v>375</v>
      </c>
      <c r="B224" s="1" t="s">
        <v>18</v>
      </c>
      <c r="C224" s="1" t="s">
        <v>19</v>
      </c>
      <c r="D224" s="1" t="s">
        <v>20</v>
      </c>
      <c r="E224" s="1" t="s">
        <v>21</v>
      </c>
      <c r="F224" s="1" t="s">
        <v>22</v>
      </c>
      <c r="G224" s="1" t="s">
        <v>75</v>
      </c>
      <c r="H224" s="1" t="s">
        <v>376</v>
      </c>
      <c r="I224" s="1" t="s">
        <v>377</v>
      </c>
      <c r="J224" s="1" t="s">
        <v>26</v>
      </c>
      <c r="K224" s="1">
        <v>2023</v>
      </c>
      <c r="L224" s="1">
        <v>6</v>
      </c>
      <c r="M224" s="1" t="s">
        <v>27</v>
      </c>
      <c r="N224" s="1" t="s">
        <v>28</v>
      </c>
      <c r="O224" s="1" t="s">
        <v>29</v>
      </c>
      <c r="P224" s="1" t="s">
        <v>78</v>
      </c>
      <c r="Q224" s="1" t="s">
        <v>631</v>
      </c>
    </row>
    <row r="225" spans="1:17" ht="15.75" customHeight="1" x14ac:dyDescent="0.25">
      <c r="A225" s="1" t="s">
        <v>212</v>
      </c>
      <c r="B225" s="1" t="s">
        <v>18</v>
      </c>
      <c r="C225" s="1" t="s">
        <v>19</v>
      </c>
      <c r="D225" s="1" t="s">
        <v>20</v>
      </c>
      <c r="E225" s="1" t="s">
        <v>21</v>
      </c>
      <c r="F225" s="1" t="s">
        <v>22</v>
      </c>
      <c r="G225" s="1" t="s">
        <v>39</v>
      </c>
      <c r="H225" s="1" t="s">
        <v>544</v>
      </c>
      <c r="I225" s="1" t="s">
        <v>545</v>
      </c>
      <c r="J225" s="1" t="s">
        <v>26</v>
      </c>
      <c r="K225" s="1">
        <v>2023</v>
      </c>
      <c r="L225" s="1">
        <v>6</v>
      </c>
      <c r="M225" s="1" t="s">
        <v>27</v>
      </c>
      <c r="N225" s="1" t="s">
        <v>28</v>
      </c>
      <c r="O225" s="1" t="s">
        <v>29</v>
      </c>
      <c r="P225" s="1" t="s">
        <v>42</v>
      </c>
      <c r="Q225" s="1" t="s">
        <v>632</v>
      </c>
    </row>
    <row r="226" spans="1:17" ht="15.75" customHeight="1" x14ac:dyDescent="0.25">
      <c r="A226" s="1" t="s">
        <v>212</v>
      </c>
      <c r="B226" s="1" t="s">
        <v>18</v>
      </c>
      <c r="C226" s="1" t="s">
        <v>19</v>
      </c>
      <c r="D226" s="1" t="s">
        <v>20</v>
      </c>
      <c r="E226" s="1" t="s">
        <v>21</v>
      </c>
      <c r="F226" s="1" t="s">
        <v>22</v>
      </c>
      <c r="G226" s="1" t="s">
        <v>39</v>
      </c>
      <c r="H226" s="1" t="s">
        <v>633</v>
      </c>
      <c r="I226" s="1" t="s">
        <v>634</v>
      </c>
      <c r="J226" s="1" t="s">
        <v>26</v>
      </c>
      <c r="K226" s="1">
        <v>2023</v>
      </c>
      <c r="L226" s="1">
        <v>6</v>
      </c>
      <c r="M226" s="1" t="s">
        <v>27</v>
      </c>
      <c r="N226" s="1" t="s">
        <v>28</v>
      </c>
      <c r="O226" s="1" t="s">
        <v>29</v>
      </c>
      <c r="P226" s="1" t="s">
        <v>42</v>
      </c>
      <c r="Q226" s="1" t="s">
        <v>635</v>
      </c>
    </row>
    <row r="227" spans="1:17" ht="15.75" customHeight="1" x14ac:dyDescent="0.25">
      <c r="A227" s="1" t="s">
        <v>54</v>
      </c>
      <c r="B227" s="1" t="s">
        <v>18</v>
      </c>
      <c r="C227" s="1" t="s">
        <v>19</v>
      </c>
      <c r="D227" s="1" t="s">
        <v>20</v>
      </c>
      <c r="E227" s="1" t="s">
        <v>21</v>
      </c>
      <c r="F227" s="1" t="s">
        <v>22</v>
      </c>
      <c r="G227" s="1" t="s">
        <v>39</v>
      </c>
      <c r="H227" s="1" t="s">
        <v>636</v>
      </c>
      <c r="I227" s="1" t="s">
        <v>637</v>
      </c>
      <c r="J227" s="1" t="s">
        <v>26</v>
      </c>
      <c r="K227" s="1">
        <v>2023</v>
      </c>
      <c r="L227" s="1">
        <v>6</v>
      </c>
      <c r="M227" s="1" t="s">
        <v>27</v>
      </c>
      <c r="N227" s="1" t="s">
        <v>28</v>
      </c>
      <c r="O227" s="1" t="s">
        <v>29</v>
      </c>
      <c r="P227" s="1" t="s">
        <v>42</v>
      </c>
      <c r="Q227" s="1" t="s">
        <v>638</v>
      </c>
    </row>
    <row r="228" spans="1:17" ht="15.75" customHeight="1" x14ac:dyDescent="0.25">
      <c r="A228" s="1" t="s">
        <v>313</v>
      </c>
      <c r="B228" s="1" t="s">
        <v>18</v>
      </c>
      <c r="C228" s="1" t="s">
        <v>19</v>
      </c>
      <c r="D228" s="1" t="s">
        <v>20</v>
      </c>
      <c r="E228" s="1" t="s">
        <v>21</v>
      </c>
      <c r="F228" s="1" t="s">
        <v>22</v>
      </c>
      <c r="G228" s="1" t="s">
        <v>314</v>
      </c>
      <c r="H228" s="1" t="s">
        <v>315</v>
      </c>
      <c r="I228" s="1" t="s">
        <v>316</v>
      </c>
      <c r="J228" s="1" t="s">
        <v>26</v>
      </c>
      <c r="K228" s="1">
        <v>2023</v>
      </c>
      <c r="L228" s="1">
        <v>6</v>
      </c>
      <c r="M228" s="1" t="s">
        <v>27</v>
      </c>
      <c r="N228" s="1" t="s">
        <v>28</v>
      </c>
      <c r="O228" s="1" t="s">
        <v>29</v>
      </c>
      <c r="P228" s="1" t="s">
        <v>317</v>
      </c>
      <c r="Q228" s="1" t="s">
        <v>639</v>
      </c>
    </row>
    <row r="229" spans="1:17" ht="15.75" customHeight="1" x14ac:dyDescent="0.25">
      <c r="A229" s="1" t="s">
        <v>103</v>
      </c>
      <c r="B229" s="1" t="s">
        <v>18</v>
      </c>
      <c r="C229" s="1" t="s">
        <v>19</v>
      </c>
      <c r="D229" s="1" t="s">
        <v>20</v>
      </c>
      <c r="E229" s="1" t="s">
        <v>21</v>
      </c>
      <c r="F229" s="1" t="s">
        <v>22</v>
      </c>
      <c r="G229" s="1" t="s">
        <v>104</v>
      </c>
      <c r="H229" s="1" t="s">
        <v>105</v>
      </c>
      <c r="I229" s="1" t="s">
        <v>106</v>
      </c>
      <c r="J229" s="1" t="s">
        <v>26</v>
      </c>
      <c r="K229" s="1">
        <v>2023</v>
      </c>
      <c r="L229" s="1">
        <v>6</v>
      </c>
      <c r="M229" s="1" t="s">
        <v>27</v>
      </c>
      <c r="N229" s="1" t="s">
        <v>28</v>
      </c>
      <c r="O229" s="1" t="s">
        <v>29</v>
      </c>
      <c r="P229" s="1" t="s">
        <v>107</v>
      </c>
      <c r="Q229" s="1" t="s">
        <v>640</v>
      </c>
    </row>
    <row r="230" spans="1:17" ht="15.75" customHeight="1" x14ac:dyDescent="0.25">
      <c r="A230" s="1" t="s">
        <v>496</v>
      </c>
      <c r="B230" s="1" t="s">
        <v>18</v>
      </c>
      <c r="C230" s="1" t="s">
        <v>19</v>
      </c>
      <c r="D230" s="1" t="s">
        <v>20</v>
      </c>
      <c r="E230" s="1" t="s">
        <v>21</v>
      </c>
      <c r="F230" s="1" t="s">
        <v>22</v>
      </c>
      <c r="G230" s="1" t="s">
        <v>104</v>
      </c>
      <c r="H230" s="1" t="s">
        <v>497</v>
      </c>
      <c r="I230" s="1" t="s">
        <v>498</v>
      </c>
      <c r="J230" s="1" t="s">
        <v>26</v>
      </c>
      <c r="K230" s="1">
        <v>2023</v>
      </c>
      <c r="L230" s="1">
        <v>6</v>
      </c>
      <c r="M230" s="1" t="s">
        <v>27</v>
      </c>
      <c r="N230" s="1" t="s">
        <v>28</v>
      </c>
      <c r="O230" s="1" t="s">
        <v>29</v>
      </c>
      <c r="P230" s="1" t="s">
        <v>107</v>
      </c>
      <c r="Q230" s="1" t="s">
        <v>641</v>
      </c>
    </row>
    <row r="231" spans="1:17" ht="15.75" customHeight="1" x14ac:dyDescent="0.25">
      <c r="A231" s="1" t="s">
        <v>91</v>
      </c>
      <c r="B231" s="1" t="s">
        <v>18</v>
      </c>
      <c r="C231" s="1" t="s">
        <v>19</v>
      </c>
      <c r="D231" s="1" t="s">
        <v>20</v>
      </c>
      <c r="E231" s="1" t="s">
        <v>86</v>
      </c>
      <c r="F231" s="1" t="s">
        <v>22</v>
      </c>
      <c r="G231" s="1" t="s">
        <v>92</v>
      </c>
      <c r="H231" s="1" t="s">
        <v>93</v>
      </c>
      <c r="I231" s="1" t="s">
        <v>94</v>
      </c>
      <c r="J231" s="1" t="s">
        <v>26</v>
      </c>
      <c r="K231" s="1">
        <v>2023</v>
      </c>
      <c r="L231" s="1">
        <v>7</v>
      </c>
      <c r="M231" s="1" t="s">
        <v>89</v>
      </c>
      <c r="N231" s="1" t="s">
        <v>28</v>
      </c>
      <c r="O231" s="1" t="s">
        <v>29</v>
      </c>
      <c r="P231" s="1" t="s">
        <v>95</v>
      </c>
      <c r="Q231" s="1" t="s">
        <v>642</v>
      </c>
    </row>
    <row r="232" spans="1:17" ht="15.75" customHeight="1" x14ac:dyDescent="0.25">
      <c r="A232" s="1" t="s">
        <v>643</v>
      </c>
      <c r="B232" s="1" t="s">
        <v>18</v>
      </c>
      <c r="C232" s="1" t="s">
        <v>19</v>
      </c>
      <c r="D232" s="1" t="s">
        <v>20</v>
      </c>
      <c r="E232" s="1" t="s">
        <v>21</v>
      </c>
      <c r="F232" s="1" t="s">
        <v>22</v>
      </c>
      <c r="G232" s="1" t="s">
        <v>33</v>
      </c>
      <c r="H232" s="1" t="s">
        <v>34</v>
      </c>
      <c r="I232" s="1" t="s">
        <v>35</v>
      </c>
      <c r="J232" s="1" t="s">
        <v>64</v>
      </c>
      <c r="K232" s="1">
        <v>2023</v>
      </c>
      <c r="L232" s="1">
        <v>7</v>
      </c>
      <c r="M232" s="1" t="s">
        <v>27</v>
      </c>
      <c r="N232" s="1" t="s">
        <v>28</v>
      </c>
      <c r="O232" s="1" t="s">
        <v>29</v>
      </c>
      <c r="P232" s="1" t="s">
        <v>36</v>
      </c>
      <c r="Q232" s="1" t="s">
        <v>644</v>
      </c>
    </row>
    <row r="233" spans="1:17" ht="15.75" customHeight="1" x14ac:dyDescent="0.25">
      <c r="A233" s="1" t="s">
        <v>32</v>
      </c>
      <c r="B233" s="1" t="s">
        <v>18</v>
      </c>
      <c r="C233" s="1" t="s">
        <v>19</v>
      </c>
      <c r="D233" s="1" t="s">
        <v>20</v>
      </c>
      <c r="E233" s="1" t="s">
        <v>21</v>
      </c>
      <c r="F233" s="1" t="s">
        <v>22</v>
      </c>
      <c r="G233" s="1" t="s">
        <v>75</v>
      </c>
      <c r="H233" s="1" t="s">
        <v>568</v>
      </c>
      <c r="I233" s="1" t="s">
        <v>569</v>
      </c>
      <c r="J233" s="1" t="s">
        <v>26</v>
      </c>
      <c r="K233" s="1">
        <v>2023</v>
      </c>
      <c r="L233" s="1">
        <v>7</v>
      </c>
      <c r="M233" s="1" t="s">
        <v>27</v>
      </c>
      <c r="N233" s="1" t="s">
        <v>28</v>
      </c>
      <c r="O233" s="1" t="s">
        <v>29</v>
      </c>
      <c r="P233" s="1" t="s">
        <v>78</v>
      </c>
      <c r="Q233" s="1" t="s">
        <v>645</v>
      </c>
    </row>
    <row r="234" spans="1:17" ht="15.75" customHeight="1" x14ac:dyDescent="0.25">
      <c r="A234" s="1" t="s">
        <v>458</v>
      </c>
      <c r="B234" s="1" t="s">
        <v>18</v>
      </c>
      <c r="C234" s="1" t="s">
        <v>19</v>
      </c>
      <c r="D234" s="1" t="s">
        <v>20</v>
      </c>
      <c r="E234" s="1" t="s">
        <v>21</v>
      </c>
      <c r="F234" s="1" t="s">
        <v>22</v>
      </c>
      <c r="G234" s="1" t="s">
        <v>49</v>
      </c>
      <c r="H234" s="1" t="s">
        <v>50</v>
      </c>
      <c r="I234" s="1" t="s">
        <v>51</v>
      </c>
      <c r="J234" s="1" t="s">
        <v>26</v>
      </c>
      <c r="K234" s="1">
        <v>2023</v>
      </c>
      <c r="L234" s="1">
        <v>7</v>
      </c>
      <c r="M234" s="1" t="s">
        <v>27</v>
      </c>
      <c r="N234" s="1" t="s">
        <v>28</v>
      </c>
      <c r="O234" s="1" t="s">
        <v>29</v>
      </c>
      <c r="P234" s="1" t="s">
        <v>52</v>
      </c>
      <c r="Q234" s="1" t="s">
        <v>646</v>
      </c>
    </row>
    <row r="235" spans="1:17" ht="15.75" customHeight="1" x14ac:dyDescent="0.25">
      <c r="A235" s="1" t="s">
        <v>200</v>
      </c>
      <c r="B235" s="1" t="s">
        <v>18</v>
      </c>
      <c r="C235" s="1" t="s">
        <v>19</v>
      </c>
      <c r="D235" s="1" t="s">
        <v>20</v>
      </c>
      <c r="E235" s="1" t="s">
        <v>21</v>
      </c>
      <c r="F235" s="1" t="s">
        <v>22</v>
      </c>
      <c r="G235" s="1" t="s">
        <v>201</v>
      </c>
      <c r="H235" s="1" t="s">
        <v>202</v>
      </c>
      <c r="I235" s="1" t="s">
        <v>203</v>
      </c>
      <c r="J235" s="1" t="s">
        <v>26</v>
      </c>
      <c r="K235" s="1">
        <v>2023</v>
      </c>
      <c r="L235" s="1">
        <v>8</v>
      </c>
      <c r="M235" s="1" t="s">
        <v>27</v>
      </c>
      <c r="N235" s="1" t="s">
        <v>28</v>
      </c>
      <c r="O235" s="1" t="s">
        <v>29</v>
      </c>
      <c r="P235" s="1" t="s">
        <v>204</v>
      </c>
      <c r="Q235" s="1" t="s">
        <v>647</v>
      </c>
    </row>
    <row r="236" spans="1:17" ht="15.75" customHeight="1" x14ac:dyDescent="0.25">
      <c r="A236" s="1" t="s">
        <v>212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22</v>
      </c>
      <c r="G236" s="1" t="s">
        <v>39</v>
      </c>
      <c r="H236" s="1" t="s">
        <v>213</v>
      </c>
      <c r="I236" s="1" t="s">
        <v>214</v>
      </c>
      <c r="J236" s="1" t="s">
        <v>26</v>
      </c>
      <c r="K236" s="1">
        <v>2023</v>
      </c>
      <c r="L236" s="1">
        <v>8</v>
      </c>
      <c r="M236" s="1" t="s">
        <v>27</v>
      </c>
      <c r="N236" s="1" t="s">
        <v>28</v>
      </c>
      <c r="O236" s="1" t="s">
        <v>29</v>
      </c>
      <c r="P236" s="1" t="s">
        <v>42</v>
      </c>
      <c r="Q236" s="1" t="s">
        <v>648</v>
      </c>
    </row>
    <row r="237" spans="1:17" ht="15.75" customHeight="1" x14ac:dyDescent="0.25">
      <c r="A237" s="1" t="s">
        <v>212</v>
      </c>
      <c r="B237" s="1" t="s">
        <v>18</v>
      </c>
      <c r="C237" s="1" t="s">
        <v>19</v>
      </c>
      <c r="D237" s="1" t="s">
        <v>20</v>
      </c>
      <c r="E237" s="1" t="s">
        <v>21</v>
      </c>
      <c r="F237" s="1" t="s">
        <v>22</v>
      </c>
      <c r="G237" s="1" t="s">
        <v>39</v>
      </c>
      <c r="H237" s="1" t="s">
        <v>633</v>
      </c>
      <c r="I237" s="1" t="s">
        <v>634</v>
      </c>
      <c r="J237" s="1" t="s">
        <v>26</v>
      </c>
      <c r="K237" s="1">
        <v>2023</v>
      </c>
      <c r="L237" s="1">
        <v>8</v>
      </c>
      <c r="M237" s="1" t="s">
        <v>27</v>
      </c>
      <c r="N237" s="1" t="s">
        <v>28</v>
      </c>
      <c r="O237" s="1" t="s">
        <v>29</v>
      </c>
      <c r="P237" s="1" t="s">
        <v>42</v>
      </c>
      <c r="Q237" s="1" t="s">
        <v>649</v>
      </c>
    </row>
    <row r="238" spans="1:17" ht="15.75" customHeight="1" x14ac:dyDescent="0.25">
      <c r="A238" s="1" t="s">
        <v>161</v>
      </c>
      <c r="B238" s="1" t="s">
        <v>18</v>
      </c>
      <c r="C238" s="1" t="s">
        <v>19</v>
      </c>
      <c r="D238" s="1" t="s">
        <v>20</v>
      </c>
      <c r="E238" s="1" t="s">
        <v>21</v>
      </c>
      <c r="F238" s="1" t="s">
        <v>22</v>
      </c>
      <c r="G238" s="1" t="s">
        <v>49</v>
      </c>
      <c r="H238" s="1" t="s">
        <v>162</v>
      </c>
      <c r="I238" s="1" t="s">
        <v>163</v>
      </c>
      <c r="J238" s="1" t="s">
        <v>26</v>
      </c>
      <c r="K238" s="1">
        <v>2023</v>
      </c>
      <c r="L238" s="1">
        <v>8</v>
      </c>
      <c r="M238" s="1" t="s">
        <v>27</v>
      </c>
      <c r="N238" s="1" t="s">
        <v>28</v>
      </c>
      <c r="O238" s="1" t="s">
        <v>29</v>
      </c>
      <c r="P238" s="1" t="s">
        <v>52</v>
      </c>
      <c r="Q238" s="1" t="s">
        <v>650</v>
      </c>
    </row>
    <row r="239" spans="1:17" ht="15.75" customHeight="1" x14ac:dyDescent="0.25">
      <c r="A239" s="1" t="s">
        <v>48</v>
      </c>
      <c r="B239" s="1" t="s">
        <v>18</v>
      </c>
      <c r="C239" s="1" t="s">
        <v>19</v>
      </c>
      <c r="D239" s="1" t="s">
        <v>20</v>
      </c>
      <c r="E239" s="1" t="s">
        <v>21</v>
      </c>
      <c r="F239" s="1" t="s">
        <v>22</v>
      </c>
      <c r="G239" s="1" t="s">
        <v>49</v>
      </c>
      <c r="H239" s="1" t="s">
        <v>387</v>
      </c>
      <c r="I239" s="1" t="s">
        <v>388</v>
      </c>
      <c r="J239" s="1" t="s">
        <v>26</v>
      </c>
      <c r="K239" s="1">
        <v>2023</v>
      </c>
      <c r="L239" s="1">
        <v>8</v>
      </c>
      <c r="M239" s="1" t="s">
        <v>27</v>
      </c>
      <c r="N239" s="1" t="s">
        <v>28</v>
      </c>
      <c r="O239" s="1" t="s">
        <v>29</v>
      </c>
      <c r="P239" s="1" t="s">
        <v>52</v>
      </c>
      <c r="Q239" s="1" t="s">
        <v>651</v>
      </c>
    </row>
    <row r="240" spans="1:17" ht="15.75" customHeight="1" x14ac:dyDescent="0.25">
      <c r="A240" s="1" t="s">
        <v>652</v>
      </c>
      <c r="B240" s="1" t="s">
        <v>18</v>
      </c>
      <c r="C240" s="1" t="s">
        <v>19</v>
      </c>
      <c r="D240" s="1" t="s">
        <v>20</v>
      </c>
      <c r="E240" s="1" t="s">
        <v>21</v>
      </c>
      <c r="F240" s="1" t="s">
        <v>22</v>
      </c>
      <c r="G240" s="1" t="s">
        <v>653</v>
      </c>
      <c r="H240" s="1" t="s">
        <v>654</v>
      </c>
      <c r="I240" s="1" t="s">
        <v>655</v>
      </c>
      <c r="J240" s="1" t="s">
        <v>26</v>
      </c>
      <c r="K240" s="1">
        <v>2023</v>
      </c>
      <c r="L240" s="1">
        <v>8</v>
      </c>
      <c r="M240" s="1" t="s">
        <v>27</v>
      </c>
      <c r="N240" s="1" t="s">
        <v>28</v>
      </c>
      <c r="O240" s="1" t="s">
        <v>29</v>
      </c>
      <c r="P240" s="1" t="s">
        <v>656</v>
      </c>
      <c r="Q240" s="1" t="s">
        <v>657</v>
      </c>
    </row>
    <row r="241" spans="1:17" ht="15.75" customHeight="1" x14ac:dyDescent="0.25">
      <c r="A241" s="1" t="s">
        <v>349</v>
      </c>
      <c r="B241" s="1" t="s">
        <v>18</v>
      </c>
      <c r="C241" s="1" t="s">
        <v>19</v>
      </c>
      <c r="D241" s="1" t="s">
        <v>20</v>
      </c>
      <c r="E241" s="1" t="s">
        <v>86</v>
      </c>
      <c r="F241" s="1" t="s">
        <v>22</v>
      </c>
      <c r="G241" s="1" t="s">
        <v>174</v>
      </c>
      <c r="H241" s="1" t="s">
        <v>175</v>
      </c>
      <c r="I241" s="1" t="s">
        <v>176</v>
      </c>
      <c r="J241" s="1" t="s">
        <v>26</v>
      </c>
      <c r="K241" s="1">
        <v>2023</v>
      </c>
      <c r="L241" s="1">
        <v>9</v>
      </c>
      <c r="M241" s="1" t="s">
        <v>89</v>
      </c>
      <c r="N241" s="1" t="s">
        <v>28</v>
      </c>
      <c r="O241" s="1" t="s">
        <v>29</v>
      </c>
      <c r="P241" s="1" t="s">
        <v>177</v>
      </c>
      <c r="Q241" s="1" t="s">
        <v>658</v>
      </c>
    </row>
    <row r="242" spans="1:17" ht="15.75" customHeight="1" x14ac:dyDescent="0.25">
      <c r="A242" s="1" t="s">
        <v>297</v>
      </c>
      <c r="B242" s="1" t="s">
        <v>18</v>
      </c>
      <c r="C242" s="1" t="s">
        <v>19</v>
      </c>
      <c r="D242" s="1" t="s">
        <v>20</v>
      </c>
      <c r="E242" s="1" t="s">
        <v>86</v>
      </c>
      <c r="F242" s="1" t="s">
        <v>22</v>
      </c>
      <c r="G242" s="1" t="s">
        <v>298</v>
      </c>
      <c r="H242" s="1" t="s">
        <v>299</v>
      </c>
      <c r="I242" s="1" t="s">
        <v>300</v>
      </c>
      <c r="J242" s="1" t="s">
        <v>26</v>
      </c>
      <c r="K242" s="1">
        <v>2023</v>
      </c>
      <c r="L242" s="1">
        <v>9</v>
      </c>
      <c r="M242" s="1" t="s">
        <v>89</v>
      </c>
      <c r="N242" s="1" t="s">
        <v>28</v>
      </c>
      <c r="O242" s="1" t="s">
        <v>29</v>
      </c>
      <c r="P242" s="1" t="s">
        <v>301</v>
      </c>
      <c r="Q242" s="1" t="s">
        <v>659</v>
      </c>
    </row>
    <row r="243" spans="1:17" ht="15.75" customHeight="1" x14ac:dyDescent="0.25">
      <c r="A243" s="1" t="s">
        <v>151</v>
      </c>
      <c r="B243" s="1" t="s">
        <v>18</v>
      </c>
      <c r="C243" s="1" t="s">
        <v>19</v>
      </c>
      <c r="D243" s="1" t="s">
        <v>20</v>
      </c>
      <c r="E243" s="1" t="s">
        <v>86</v>
      </c>
      <c r="F243" s="1" t="s">
        <v>22</v>
      </c>
      <c r="G243" s="1" t="s">
        <v>152</v>
      </c>
      <c r="H243" s="2" t="s">
        <v>660</v>
      </c>
      <c r="I243" s="2" t="s">
        <v>661</v>
      </c>
      <c r="J243" s="1" t="s">
        <v>26</v>
      </c>
      <c r="K243" s="1">
        <v>2023</v>
      </c>
      <c r="L243" s="1">
        <v>9</v>
      </c>
      <c r="M243" s="1" t="s">
        <v>89</v>
      </c>
      <c r="N243" s="1" t="s">
        <v>28</v>
      </c>
      <c r="O243" s="1" t="s">
        <v>29</v>
      </c>
      <c r="P243" s="1" t="s">
        <v>155</v>
      </c>
      <c r="Q243" s="2" t="s">
        <v>662</v>
      </c>
    </row>
    <row r="244" spans="1:17" ht="15.75" customHeight="1" x14ac:dyDescent="0.25">
      <c r="A244" s="1" t="s">
        <v>602</v>
      </c>
      <c r="B244" s="1" t="s">
        <v>18</v>
      </c>
      <c r="C244" s="1" t="s">
        <v>19</v>
      </c>
      <c r="D244" s="1" t="s">
        <v>20</v>
      </c>
      <c r="E244" s="1" t="s">
        <v>86</v>
      </c>
      <c r="F244" s="1" t="s">
        <v>22</v>
      </c>
      <c r="G244" s="1" t="s">
        <v>603</v>
      </c>
      <c r="H244" s="1" t="s">
        <v>604</v>
      </c>
      <c r="I244" s="1" t="s">
        <v>605</v>
      </c>
      <c r="J244" s="1" t="s">
        <v>26</v>
      </c>
      <c r="K244" s="1">
        <v>2023</v>
      </c>
      <c r="L244" s="1">
        <v>9</v>
      </c>
      <c r="M244" s="1" t="s">
        <v>89</v>
      </c>
      <c r="N244" s="1" t="s">
        <v>28</v>
      </c>
      <c r="O244" s="1" t="s">
        <v>29</v>
      </c>
      <c r="P244" s="1" t="s">
        <v>606</v>
      </c>
      <c r="Q244" s="1" t="s">
        <v>663</v>
      </c>
    </row>
    <row r="245" spans="1:17" ht="15.75" customHeight="1" x14ac:dyDescent="0.25">
      <c r="A245" s="1" t="s">
        <v>664</v>
      </c>
      <c r="B245" s="1" t="s">
        <v>18</v>
      </c>
      <c r="C245" s="1" t="s">
        <v>19</v>
      </c>
      <c r="D245" s="1" t="s">
        <v>20</v>
      </c>
      <c r="E245" s="1" t="s">
        <v>21</v>
      </c>
      <c r="F245" s="1" t="s">
        <v>22</v>
      </c>
      <c r="G245" s="1" t="s">
        <v>33</v>
      </c>
      <c r="H245" s="1" t="s">
        <v>34</v>
      </c>
      <c r="I245" s="1" t="s">
        <v>35</v>
      </c>
      <c r="J245" s="1" t="s">
        <v>26</v>
      </c>
      <c r="K245" s="1">
        <v>2023</v>
      </c>
      <c r="L245" s="1">
        <v>9</v>
      </c>
      <c r="M245" s="1" t="s">
        <v>27</v>
      </c>
      <c r="N245" s="1" t="s">
        <v>28</v>
      </c>
      <c r="O245" s="1" t="s">
        <v>29</v>
      </c>
      <c r="P245" s="1" t="s">
        <v>36</v>
      </c>
      <c r="Q245" s="1" t="s">
        <v>665</v>
      </c>
    </row>
    <row r="246" spans="1:17" ht="15.75" customHeight="1" x14ac:dyDescent="0.25">
      <c r="A246" s="1" t="s">
        <v>666</v>
      </c>
      <c r="B246" s="1" t="s">
        <v>18</v>
      </c>
      <c r="C246" s="1" t="s">
        <v>19</v>
      </c>
      <c r="D246" s="1" t="s">
        <v>667</v>
      </c>
      <c r="E246" s="1" t="s">
        <v>668</v>
      </c>
      <c r="F246" s="1" t="s">
        <v>125</v>
      </c>
      <c r="G246" s="1" t="s">
        <v>669</v>
      </c>
      <c r="H246" s="1" t="s">
        <v>670</v>
      </c>
      <c r="I246" s="1" t="s">
        <v>671</v>
      </c>
      <c r="J246" s="1" t="s">
        <v>672</v>
      </c>
      <c r="K246" s="1">
        <v>2023</v>
      </c>
      <c r="L246" s="1">
        <v>10</v>
      </c>
      <c r="M246" s="1" t="s">
        <v>673</v>
      </c>
      <c r="N246" s="1" t="s">
        <v>28</v>
      </c>
      <c r="O246" s="1" t="s">
        <v>131</v>
      </c>
      <c r="P246" s="1" t="s">
        <v>674</v>
      </c>
      <c r="Q246" s="1" t="s">
        <v>675</v>
      </c>
    </row>
    <row r="247" spans="1:17" ht="15.75" customHeight="1" x14ac:dyDescent="0.25">
      <c r="A247" s="1" t="s">
        <v>85</v>
      </c>
      <c r="B247" s="1" t="s">
        <v>18</v>
      </c>
      <c r="C247" s="1" t="s">
        <v>19</v>
      </c>
      <c r="D247" s="1" t="s">
        <v>20</v>
      </c>
      <c r="E247" s="1" t="s">
        <v>21</v>
      </c>
      <c r="F247" s="1" t="s">
        <v>22</v>
      </c>
      <c r="G247" s="1" t="s">
        <v>61</v>
      </c>
      <c r="H247" s="1" t="s">
        <v>263</v>
      </c>
      <c r="I247" s="1" t="s">
        <v>264</v>
      </c>
      <c r="J247" s="1" t="s">
        <v>26</v>
      </c>
      <c r="K247" s="1">
        <v>2023</v>
      </c>
      <c r="L247" s="1">
        <v>9</v>
      </c>
      <c r="M247" s="1" t="s">
        <v>27</v>
      </c>
      <c r="N247" s="1" t="s">
        <v>28</v>
      </c>
      <c r="O247" s="1" t="s">
        <v>29</v>
      </c>
      <c r="P247" s="1" t="s">
        <v>65</v>
      </c>
      <c r="Q247" s="1" t="s">
        <v>676</v>
      </c>
    </row>
    <row r="248" spans="1:17" ht="15.75" customHeight="1" x14ac:dyDescent="0.25">
      <c r="A248" s="1" t="s">
        <v>357</v>
      </c>
      <c r="B248" s="1" t="s">
        <v>18</v>
      </c>
      <c r="C248" s="1" t="s">
        <v>19</v>
      </c>
      <c r="D248" s="1" t="s">
        <v>20</v>
      </c>
      <c r="E248" s="1" t="s">
        <v>21</v>
      </c>
      <c r="F248" s="1" t="s">
        <v>22</v>
      </c>
      <c r="G248" s="1" t="s">
        <v>145</v>
      </c>
      <c r="H248" s="1" t="s">
        <v>146</v>
      </c>
      <c r="I248" s="1" t="s">
        <v>147</v>
      </c>
      <c r="J248" s="1" t="s">
        <v>26</v>
      </c>
      <c r="K248" s="1">
        <v>2023</v>
      </c>
      <c r="L248" s="1">
        <v>9</v>
      </c>
      <c r="M248" s="1" t="s">
        <v>27</v>
      </c>
      <c r="N248" s="1" t="s">
        <v>28</v>
      </c>
      <c r="O248" s="1" t="s">
        <v>29</v>
      </c>
      <c r="P248" s="1" t="s">
        <v>148</v>
      </c>
      <c r="Q248" s="1" t="s">
        <v>677</v>
      </c>
    </row>
    <row r="249" spans="1:17" ht="15.75" customHeight="1" x14ac:dyDescent="0.25">
      <c r="A249" s="1" t="s">
        <v>134</v>
      </c>
      <c r="B249" s="1" t="s">
        <v>18</v>
      </c>
      <c r="C249" s="1" t="s">
        <v>19</v>
      </c>
      <c r="D249" s="1" t="s">
        <v>123</v>
      </c>
      <c r="E249" s="1" t="s">
        <v>124</v>
      </c>
      <c r="F249" s="1" t="s">
        <v>125</v>
      </c>
      <c r="G249" s="1" t="s">
        <v>135</v>
      </c>
      <c r="H249" s="1" t="s">
        <v>354</v>
      </c>
      <c r="I249" s="1" t="s">
        <v>355</v>
      </c>
      <c r="J249" s="1" t="s">
        <v>129</v>
      </c>
      <c r="K249" s="1">
        <v>2025</v>
      </c>
      <c r="L249" s="1">
        <v>11</v>
      </c>
      <c r="M249" s="1" t="s">
        <v>130</v>
      </c>
      <c r="N249" s="1" t="s">
        <v>28</v>
      </c>
      <c r="O249" s="1" t="s">
        <v>131</v>
      </c>
      <c r="P249" s="1" t="s">
        <v>138</v>
      </c>
      <c r="Q249" s="1" t="s">
        <v>678</v>
      </c>
    </row>
    <row r="250" spans="1:17" ht="15.75" customHeight="1" x14ac:dyDescent="0.25">
      <c r="A250" s="1" t="s">
        <v>333</v>
      </c>
      <c r="B250" s="1" t="s">
        <v>18</v>
      </c>
      <c r="C250" s="1" t="s">
        <v>19</v>
      </c>
      <c r="D250" s="1" t="s">
        <v>20</v>
      </c>
      <c r="E250" s="1" t="s">
        <v>21</v>
      </c>
      <c r="F250" s="1" t="s">
        <v>22</v>
      </c>
      <c r="G250" s="1" t="s">
        <v>75</v>
      </c>
      <c r="H250" s="1" t="s">
        <v>610</v>
      </c>
      <c r="I250" s="1" t="s">
        <v>611</v>
      </c>
      <c r="J250" s="1" t="s">
        <v>26</v>
      </c>
      <c r="K250" s="1">
        <v>2023</v>
      </c>
      <c r="L250" s="1">
        <v>9</v>
      </c>
      <c r="M250" s="1" t="s">
        <v>27</v>
      </c>
      <c r="N250" s="1" t="s">
        <v>28</v>
      </c>
      <c r="O250" s="1" t="s">
        <v>29</v>
      </c>
      <c r="P250" s="1" t="s">
        <v>78</v>
      </c>
      <c r="Q250" s="1" t="s">
        <v>679</v>
      </c>
    </row>
    <row r="251" spans="1:17" ht="15.75" customHeight="1" x14ac:dyDescent="0.25">
      <c r="A251" s="1" t="s">
        <v>333</v>
      </c>
      <c r="B251" s="1" t="s">
        <v>18</v>
      </c>
      <c r="C251" s="1" t="s">
        <v>19</v>
      </c>
      <c r="D251" s="1" t="s">
        <v>20</v>
      </c>
      <c r="E251" s="1" t="s">
        <v>21</v>
      </c>
      <c r="F251" s="1" t="s">
        <v>22</v>
      </c>
      <c r="G251" s="1" t="s">
        <v>75</v>
      </c>
      <c r="H251" s="1" t="s">
        <v>399</v>
      </c>
      <c r="I251" s="1" t="s">
        <v>400</v>
      </c>
      <c r="J251" s="1" t="s">
        <v>26</v>
      </c>
      <c r="K251" s="1">
        <v>2023</v>
      </c>
      <c r="L251" s="1">
        <v>9</v>
      </c>
      <c r="M251" s="1" t="s">
        <v>27</v>
      </c>
      <c r="N251" s="1" t="s">
        <v>28</v>
      </c>
      <c r="O251" s="1" t="s">
        <v>29</v>
      </c>
      <c r="P251" s="1" t="s">
        <v>78</v>
      </c>
      <c r="Q251" s="1" t="s">
        <v>680</v>
      </c>
    </row>
    <row r="252" spans="1:17" ht="15.75" customHeight="1" x14ac:dyDescent="0.25">
      <c r="A252" s="1" t="s">
        <v>681</v>
      </c>
      <c r="B252" s="1" t="s">
        <v>18</v>
      </c>
      <c r="C252" s="1" t="s">
        <v>19</v>
      </c>
      <c r="D252" s="1" t="s">
        <v>20</v>
      </c>
      <c r="E252" s="1" t="s">
        <v>21</v>
      </c>
      <c r="F252" s="1" t="s">
        <v>22</v>
      </c>
      <c r="G252" s="1" t="s">
        <v>682</v>
      </c>
      <c r="H252" s="1" t="s">
        <v>683</v>
      </c>
      <c r="I252" s="1" t="s">
        <v>684</v>
      </c>
      <c r="J252" s="1" t="s">
        <v>26</v>
      </c>
      <c r="K252" s="1">
        <v>2023</v>
      </c>
      <c r="L252" s="1">
        <v>9</v>
      </c>
      <c r="M252" s="1" t="s">
        <v>27</v>
      </c>
      <c r="N252" s="1" t="s">
        <v>28</v>
      </c>
      <c r="O252" s="1" t="s">
        <v>29</v>
      </c>
      <c r="P252" s="1" t="s">
        <v>685</v>
      </c>
      <c r="Q252" s="1" t="s">
        <v>686</v>
      </c>
    </row>
    <row r="253" spans="1:17" ht="15.75" customHeight="1" x14ac:dyDescent="0.25">
      <c r="A253" s="1" t="s">
        <v>151</v>
      </c>
      <c r="B253" s="1" t="s">
        <v>18</v>
      </c>
      <c r="C253" s="1" t="s">
        <v>19</v>
      </c>
      <c r="D253" s="1" t="s">
        <v>20</v>
      </c>
      <c r="E253" s="1" t="s">
        <v>21</v>
      </c>
      <c r="F253" s="1" t="s">
        <v>22</v>
      </c>
      <c r="G253" s="1" t="s">
        <v>152</v>
      </c>
      <c r="H253" s="1" t="s">
        <v>590</v>
      </c>
      <c r="I253" s="1" t="s">
        <v>591</v>
      </c>
      <c r="J253" s="1" t="s">
        <v>26</v>
      </c>
      <c r="K253" s="1">
        <v>2023</v>
      </c>
      <c r="L253" s="1">
        <v>9</v>
      </c>
      <c r="M253" s="1" t="s">
        <v>27</v>
      </c>
      <c r="N253" s="1" t="s">
        <v>28</v>
      </c>
      <c r="O253" s="1" t="s">
        <v>29</v>
      </c>
      <c r="P253" s="1" t="s">
        <v>155</v>
      </c>
      <c r="Q253" s="1" t="s">
        <v>687</v>
      </c>
    </row>
    <row r="254" spans="1:17" ht="15.75" customHeight="1" x14ac:dyDescent="0.25">
      <c r="A254" s="1" t="s">
        <v>291</v>
      </c>
      <c r="B254" s="1" t="s">
        <v>18</v>
      </c>
      <c r="C254" s="1" t="s">
        <v>19</v>
      </c>
      <c r="D254" s="1" t="s">
        <v>20</v>
      </c>
      <c r="E254" s="1" t="s">
        <v>21</v>
      </c>
      <c r="F254" s="1" t="s">
        <v>22</v>
      </c>
      <c r="G254" s="1" t="s">
        <v>167</v>
      </c>
      <c r="H254" s="1" t="s">
        <v>688</v>
      </c>
      <c r="I254" s="1" t="s">
        <v>689</v>
      </c>
      <c r="J254" s="1" t="s">
        <v>26</v>
      </c>
      <c r="K254" s="1">
        <v>2023</v>
      </c>
      <c r="L254" s="1">
        <v>9</v>
      </c>
      <c r="M254" s="1" t="s">
        <v>27</v>
      </c>
      <c r="N254" s="1" t="s">
        <v>28</v>
      </c>
      <c r="O254" s="1" t="s">
        <v>29</v>
      </c>
      <c r="P254" s="1" t="s">
        <v>170</v>
      </c>
      <c r="Q254" s="1" t="s">
        <v>690</v>
      </c>
    </row>
    <row r="255" spans="1:17" ht="15.75" customHeight="1" x14ac:dyDescent="0.25">
      <c r="A255" s="1" t="s">
        <v>166</v>
      </c>
      <c r="B255" s="1" t="s">
        <v>18</v>
      </c>
      <c r="C255" s="1" t="s">
        <v>19</v>
      </c>
      <c r="D255" s="1" t="s">
        <v>20</v>
      </c>
      <c r="E255" s="1" t="s">
        <v>21</v>
      </c>
      <c r="F255" s="1" t="s">
        <v>22</v>
      </c>
      <c r="G255" s="1" t="s">
        <v>167</v>
      </c>
      <c r="H255" s="1" t="s">
        <v>168</v>
      </c>
      <c r="I255" s="1" t="s">
        <v>169</v>
      </c>
      <c r="J255" s="1" t="s">
        <v>26</v>
      </c>
      <c r="K255" s="1">
        <v>2023</v>
      </c>
      <c r="L255" s="1">
        <v>9</v>
      </c>
      <c r="M255" s="1" t="s">
        <v>27</v>
      </c>
      <c r="N255" s="1" t="s">
        <v>28</v>
      </c>
      <c r="O255" s="1" t="s">
        <v>29</v>
      </c>
      <c r="P255" s="1" t="s">
        <v>170</v>
      </c>
      <c r="Q255" s="1" t="s">
        <v>691</v>
      </c>
    </row>
    <row r="256" spans="1:17" ht="15.75" customHeight="1" x14ac:dyDescent="0.25">
      <c r="A256" s="1" t="s">
        <v>692</v>
      </c>
      <c r="B256" s="1" t="s">
        <v>18</v>
      </c>
      <c r="C256" s="1" t="s">
        <v>19</v>
      </c>
      <c r="D256" s="1" t="s">
        <v>20</v>
      </c>
      <c r="E256" s="1" t="s">
        <v>86</v>
      </c>
      <c r="F256" s="1" t="s">
        <v>22</v>
      </c>
      <c r="G256" s="1" t="s">
        <v>693</v>
      </c>
      <c r="H256" s="1" t="s">
        <v>694</v>
      </c>
      <c r="I256" s="1" t="s">
        <v>695</v>
      </c>
      <c r="J256" s="1" t="s">
        <v>64</v>
      </c>
      <c r="K256" s="1">
        <v>2023</v>
      </c>
      <c r="L256" s="1">
        <v>10</v>
      </c>
      <c r="M256" s="1" t="s">
        <v>89</v>
      </c>
      <c r="N256" s="1" t="s">
        <v>28</v>
      </c>
      <c r="O256" s="1" t="s">
        <v>29</v>
      </c>
      <c r="P256" s="1" t="s">
        <v>696</v>
      </c>
      <c r="Q256" s="1" t="s">
        <v>697</v>
      </c>
    </row>
    <row r="257" spans="1:17" ht="15.75" customHeight="1" x14ac:dyDescent="0.25">
      <c r="A257" s="1" t="s">
        <v>349</v>
      </c>
      <c r="B257" s="1" t="s">
        <v>18</v>
      </c>
      <c r="C257" s="1" t="s">
        <v>19</v>
      </c>
      <c r="D257" s="1" t="s">
        <v>20</v>
      </c>
      <c r="E257" s="1" t="s">
        <v>86</v>
      </c>
      <c r="F257" s="1" t="s">
        <v>22</v>
      </c>
      <c r="G257" s="1" t="s">
        <v>174</v>
      </c>
      <c r="H257" s="1" t="s">
        <v>175</v>
      </c>
      <c r="I257" s="1" t="s">
        <v>176</v>
      </c>
      <c r="J257" s="1" t="s">
        <v>26</v>
      </c>
      <c r="K257" s="1">
        <v>2023</v>
      </c>
      <c r="L257" s="1">
        <v>10</v>
      </c>
      <c r="M257" s="1" t="s">
        <v>89</v>
      </c>
      <c r="N257" s="1" t="s">
        <v>28</v>
      </c>
      <c r="O257" s="1" t="s">
        <v>29</v>
      </c>
      <c r="P257" s="1" t="s">
        <v>177</v>
      </c>
      <c r="Q257" s="1" t="s">
        <v>698</v>
      </c>
    </row>
    <row r="258" spans="1:17" ht="15.75" customHeight="1" x14ac:dyDescent="0.25">
      <c r="A258" s="1" t="s">
        <v>699</v>
      </c>
      <c r="B258" s="1" t="s">
        <v>18</v>
      </c>
      <c r="C258" s="1" t="s">
        <v>19</v>
      </c>
      <c r="D258" s="1" t="s">
        <v>20</v>
      </c>
      <c r="E258" s="1" t="s">
        <v>86</v>
      </c>
      <c r="F258" s="1" t="s">
        <v>22</v>
      </c>
      <c r="G258" s="1" t="s">
        <v>186</v>
      </c>
      <c r="H258" s="1" t="s">
        <v>529</v>
      </c>
      <c r="I258" s="1" t="s">
        <v>530</v>
      </c>
      <c r="J258" s="1" t="s">
        <v>189</v>
      </c>
      <c r="K258" s="1">
        <v>2023</v>
      </c>
      <c r="L258" s="1">
        <v>10</v>
      </c>
      <c r="M258" s="1" t="s">
        <v>89</v>
      </c>
      <c r="N258" s="1" t="s">
        <v>28</v>
      </c>
      <c r="O258" s="1" t="s">
        <v>29</v>
      </c>
      <c r="P258" s="1" t="s">
        <v>190</v>
      </c>
      <c r="Q258" s="1" t="s">
        <v>700</v>
      </c>
    </row>
    <row r="259" spans="1:17" ht="15.75" customHeight="1" x14ac:dyDescent="0.25">
      <c r="A259" s="1" t="s">
        <v>411</v>
      </c>
      <c r="B259" s="1" t="s">
        <v>18</v>
      </c>
      <c r="C259" s="1" t="s">
        <v>19</v>
      </c>
      <c r="D259" s="1" t="s">
        <v>20</v>
      </c>
      <c r="E259" s="1" t="s">
        <v>21</v>
      </c>
      <c r="F259" s="1" t="s">
        <v>22</v>
      </c>
      <c r="G259" s="1" t="s">
        <v>223</v>
      </c>
      <c r="H259" s="1" t="s">
        <v>538</v>
      </c>
      <c r="I259" s="1" t="s">
        <v>539</v>
      </c>
      <c r="J259" s="1" t="s">
        <v>26</v>
      </c>
      <c r="K259" s="1">
        <v>2023</v>
      </c>
      <c r="L259" s="1">
        <v>10</v>
      </c>
      <c r="M259" s="1" t="s">
        <v>27</v>
      </c>
      <c r="N259" s="1" t="s">
        <v>28</v>
      </c>
      <c r="O259" s="1" t="s">
        <v>29</v>
      </c>
      <c r="P259" s="1" t="s">
        <v>226</v>
      </c>
      <c r="Q259" s="1" t="s">
        <v>701</v>
      </c>
    </row>
    <row r="260" spans="1:17" ht="15.75" customHeight="1" x14ac:dyDescent="0.25">
      <c r="A260" s="1" t="s">
        <v>339</v>
      </c>
      <c r="B260" s="1" t="s">
        <v>18</v>
      </c>
      <c r="C260" s="1" t="s">
        <v>19</v>
      </c>
      <c r="D260" s="1" t="s">
        <v>20</v>
      </c>
      <c r="E260" s="1" t="s">
        <v>21</v>
      </c>
      <c r="F260" s="1" t="s">
        <v>22</v>
      </c>
      <c r="G260" s="1" t="s">
        <v>75</v>
      </c>
      <c r="H260" s="1" t="s">
        <v>340</v>
      </c>
      <c r="I260" s="1" t="s">
        <v>341</v>
      </c>
      <c r="J260" s="1" t="s">
        <v>26</v>
      </c>
      <c r="K260" s="1">
        <v>2023</v>
      </c>
      <c r="L260" s="1">
        <v>10</v>
      </c>
      <c r="M260" s="1" t="s">
        <v>27</v>
      </c>
      <c r="N260" s="1" t="s">
        <v>28</v>
      </c>
      <c r="O260" s="1" t="s">
        <v>29</v>
      </c>
      <c r="P260" s="1" t="s">
        <v>78</v>
      </c>
      <c r="Q260" s="1" t="s">
        <v>702</v>
      </c>
    </row>
    <row r="261" spans="1:17" ht="15.75" customHeight="1" x14ac:dyDescent="0.25">
      <c r="A261" s="1" t="s">
        <v>681</v>
      </c>
      <c r="B261" s="1" t="s">
        <v>18</v>
      </c>
      <c r="C261" s="1" t="s">
        <v>19</v>
      </c>
      <c r="D261" s="1" t="s">
        <v>20</v>
      </c>
      <c r="E261" s="1" t="s">
        <v>21</v>
      </c>
      <c r="F261" s="1" t="s">
        <v>22</v>
      </c>
      <c r="G261" s="1" t="s">
        <v>682</v>
      </c>
      <c r="H261" s="1" t="s">
        <v>683</v>
      </c>
      <c r="I261" s="1" t="s">
        <v>684</v>
      </c>
      <c r="J261" s="1" t="s">
        <v>26</v>
      </c>
      <c r="K261" s="1">
        <v>2023</v>
      </c>
      <c r="L261" s="1">
        <v>10</v>
      </c>
      <c r="M261" s="1" t="s">
        <v>27</v>
      </c>
      <c r="N261" s="1" t="s">
        <v>28</v>
      </c>
      <c r="O261" s="1" t="s">
        <v>29</v>
      </c>
      <c r="P261" s="1" t="s">
        <v>685</v>
      </c>
      <c r="Q261" s="1" t="s">
        <v>703</v>
      </c>
    </row>
    <row r="262" spans="1:17" ht="15.75" customHeight="1" x14ac:dyDescent="0.25">
      <c r="A262" s="1" t="s">
        <v>313</v>
      </c>
      <c r="B262" s="1" t="s">
        <v>18</v>
      </c>
      <c r="C262" s="1" t="s">
        <v>19</v>
      </c>
      <c r="D262" s="1" t="s">
        <v>20</v>
      </c>
      <c r="E262" s="1" t="s">
        <v>21</v>
      </c>
      <c r="F262" s="1" t="s">
        <v>22</v>
      </c>
      <c r="G262" s="1" t="s">
        <v>314</v>
      </c>
      <c r="H262" s="1" t="s">
        <v>455</v>
      </c>
      <c r="I262" s="1" t="s">
        <v>456</v>
      </c>
      <c r="J262" s="1" t="s">
        <v>26</v>
      </c>
      <c r="K262" s="1">
        <v>2023</v>
      </c>
      <c r="L262" s="1">
        <v>10</v>
      </c>
      <c r="M262" s="1" t="s">
        <v>27</v>
      </c>
      <c r="N262" s="1" t="s">
        <v>28</v>
      </c>
      <c r="O262" s="1" t="s">
        <v>29</v>
      </c>
      <c r="P262" s="1" t="s">
        <v>317</v>
      </c>
      <c r="Q262" s="1" t="s">
        <v>704</v>
      </c>
    </row>
    <row r="263" spans="1:17" ht="15.75" customHeight="1" x14ac:dyDescent="0.25">
      <c r="A263" s="1" t="s">
        <v>329</v>
      </c>
      <c r="B263" s="1" t="s">
        <v>18</v>
      </c>
      <c r="C263" s="1" t="s">
        <v>19</v>
      </c>
      <c r="D263" s="1" t="s">
        <v>20</v>
      </c>
      <c r="E263" s="1" t="s">
        <v>86</v>
      </c>
      <c r="F263" s="1" t="s">
        <v>22</v>
      </c>
      <c r="G263" s="1" t="s">
        <v>501</v>
      </c>
      <c r="H263" s="1" t="s">
        <v>502</v>
      </c>
      <c r="I263" s="1" t="s">
        <v>503</v>
      </c>
      <c r="J263" s="1" t="s">
        <v>26</v>
      </c>
      <c r="K263" s="1">
        <v>2023</v>
      </c>
      <c r="L263" s="1">
        <v>11</v>
      </c>
      <c r="M263" s="1" t="s">
        <v>89</v>
      </c>
      <c r="N263" s="1" t="s">
        <v>28</v>
      </c>
      <c r="O263" s="1" t="s">
        <v>29</v>
      </c>
      <c r="P263" s="1" t="s">
        <v>504</v>
      </c>
      <c r="Q263" s="1" t="s">
        <v>705</v>
      </c>
    </row>
    <row r="264" spans="1:17" ht="15.75" customHeight="1" x14ac:dyDescent="0.25">
      <c r="A264" s="1" t="s">
        <v>706</v>
      </c>
      <c r="B264" s="1" t="s">
        <v>18</v>
      </c>
      <c r="C264" s="1" t="s">
        <v>19</v>
      </c>
      <c r="D264" s="1" t="s">
        <v>123</v>
      </c>
      <c r="E264" s="1" t="s">
        <v>124</v>
      </c>
      <c r="F264" s="1" t="s">
        <v>22</v>
      </c>
      <c r="G264" s="1" t="s">
        <v>707</v>
      </c>
      <c r="H264" s="1" t="s">
        <v>708</v>
      </c>
      <c r="I264" s="1" t="s">
        <v>709</v>
      </c>
      <c r="J264" s="1" t="s">
        <v>26</v>
      </c>
      <c r="K264" s="1">
        <v>2023</v>
      </c>
      <c r="L264" s="1">
        <v>19</v>
      </c>
      <c r="M264" s="1" t="s">
        <v>130</v>
      </c>
      <c r="N264" s="1" t="s">
        <v>28</v>
      </c>
      <c r="O264" s="1" t="s">
        <v>29</v>
      </c>
      <c r="P264" s="1" t="s">
        <v>710</v>
      </c>
      <c r="Q264" s="1" t="s">
        <v>711</v>
      </c>
    </row>
    <row r="265" spans="1:17" ht="15.75" customHeight="1" x14ac:dyDescent="0.25">
      <c r="A265" s="1" t="s">
        <v>712</v>
      </c>
      <c r="B265" s="1" t="s">
        <v>18</v>
      </c>
      <c r="C265" s="1" t="s">
        <v>19</v>
      </c>
      <c r="D265" s="1" t="s">
        <v>123</v>
      </c>
      <c r="E265" s="1" t="s">
        <v>124</v>
      </c>
      <c r="F265" s="1" t="s">
        <v>22</v>
      </c>
      <c r="G265" s="1" t="s">
        <v>135</v>
      </c>
      <c r="H265" s="1" t="s">
        <v>713</v>
      </c>
      <c r="I265" s="1" t="s">
        <v>714</v>
      </c>
      <c r="J265" s="1" t="s">
        <v>26</v>
      </c>
      <c r="K265" s="1">
        <v>2023</v>
      </c>
      <c r="L265" s="1">
        <v>18</v>
      </c>
      <c r="M265" s="1" t="s">
        <v>130</v>
      </c>
      <c r="N265" s="1" t="s">
        <v>28</v>
      </c>
      <c r="O265" s="1" t="s">
        <v>29</v>
      </c>
      <c r="P265" s="1" t="s">
        <v>138</v>
      </c>
      <c r="Q265" s="1" t="s">
        <v>715</v>
      </c>
    </row>
    <row r="266" spans="1:17" ht="15.75" customHeight="1" x14ac:dyDescent="0.25">
      <c r="A266" s="1" t="s">
        <v>716</v>
      </c>
      <c r="B266" s="1" t="s">
        <v>18</v>
      </c>
      <c r="C266" s="1" t="s">
        <v>19</v>
      </c>
      <c r="D266" s="1" t="s">
        <v>123</v>
      </c>
      <c r="E266" s="1" t="s">
        <v>124</v>
      </c>
      <c r="F266" s="1" t="s">
        <v>22</v>
      </c>
      <c r="G266" s="1" t="s">
        <v>707</v>
      </c>
      <c r="H266" s="1" t="s">
        <v>717</v>
      </c>
      <c r="I266" s="1" t="s">
        <v>718</v>
      </c>
      <c r="J266" s="1" t="s">
        <v>26</v>
      </c>
      <c r="K266" s="1">
        <v>2023</v>
      </c>
      <c r="L266" s="1">
        <v>16</v>
      </c>
      <c r="M266" s="1" t="s">
        <v>130</v>
      </c>
      <c r="N266" s="1" t="s">
        <v>28</v>
      </c>
      <c r="O266" s="1" t="s">
        <v>29</v>
      </c>
      <c r="P266" s="1" t="s">
        <v>710</v>
      </c>
      <c r="Q266" s="1" t="s">
        <v>719</v>
      </c>
    </row>
    <row r="267" spans="1:17" ht="15.75" customHeight="1" x14ac:dyDescent="0.25">
      <c r="A267" s="1" t="s">
        <v>720</v>
      </c>
      <c r="B267" s="1" t="s">
        <v>18</v>
      </c>
      <c r="C267" s="1" t="s">
        <v>19</v>
      </c>
      <c r="D267" s="1" t="s">
        <v>123</v>
      </c>
      <c r="E267" s="1" t="s">
        <v>124</v>
      </c>
      <c r="F267" s="1" t="s">
        <v>721</v>
      </c>
      <c r="G267" s="1" t="s">
        <v>707</v>
      </c>
      <c r="H267" s="1" t="s">
        <v>722</v>
      </c>
      <c r="I267" s="1" t="s">
        <v>723</v>
      </c>
      <c r="J267" s="1" t="s">
        <v>724</v>
      </c>
      <c r="K267" s="1">
        <v>2023</v>
      </c>
      <c r="L267" s="1">
        <v>22</v>
      </c>
      <c r="M267" s="1" t="s">
        <v>130</v>
      </c>
      <c r="N267" s="1" t="s">
        <v>28</v>
      </c>
      <c r="O267" s="1" t="s">
        <v>725</v>
      </c>
      <c r="P267" s="1" t="s">
        <v>710</v>
      </c>
      <c r="Q267" s="1" t="s">
        <v>726</v>
      </c>
    </row>
    <row r="268" spans="1:17" ht="15.75" customHeight="1" x14ac:dyDescent="0.25">
      <c r="A268" s="1" t="s">
        <v>727</v>
      </c>
      <c r="B268" s="1" t="s">
        <v>18</v>
      </c>
      <c r="C268" s="1" t="s">
        <v>19</v>
      </c>
      <c r="D268" s="1" t="s">
        <v>123</v>
      </c>
      <c r="E268" s="1" t="s">
        <v>124</v>
      </c>
      <c r="F268" s="1" t="s">
        <v>22</v>
      </c>
      <c r="G268" s="1" t="s">
        <v>135</v>
      </c>
      <c r="H268" s="1" t="s">
        <v>728</v>
      </c>
      <c r="I268" s="1" t="s">
        <v>729</v>
      </c>
      <c r="J268" s="1" t="s">
        <v>26</v>
      </c>
      <c r="K268" s="1">
        <v>2023</v>
      </c>
      <c r="L268" s="1">
        <v>22</v>
      </c>
      <c r="M268" s="1" t="s">
        <v>130</v>
      </c>
      <c r="N268" s="1" t="s">
        <v>28</v>
      </c>
      <c r="O268" s="1" t="s">
        <v>29</v>
      </c>
      <c r="P268" s="1" t="s">
        <v>138</v>
      </c>
      <c r="Q268" s="1" t="s">
        <v>730</v>
      </c>
    </row>
    <row r="269" spans="1:17" ht="15.75" customHeight="1" x14ac:dyDescent="0.25">
      <c r="A269" s="1" t="s">
        <v>731</v>
      </c>
      <c r="B269" s="1" t="s">
        <v>732</v>
      </c>
      <c r="C269" s="1" t="s">
        <v>733</v>
      </c>
      <c r="D269" s="1" t="s">
        <v>734</v>
      </c>
      <c r="E269" s="1" t="s">
        <v>735</v>
      </c>
      <c r="F269" s="1" t="s">
        <v>125</v>
      </c>
      <c r="G269" s="1" t="s">
        <v>736</v>
      </c>
      <c r="H269" s="1" t="s">
        <v>737</v>
      </c>
      <c r="I269" s="1" t="s">
        <v>738</v>
      </c>
      <c r="J269" s="1" t="s">
        <v>672</v>
      </c>
      <c r="K269" s="1">
        <v>2023</v>
      </c>
      <c r="L269" s="1">
        <v>5</v>
      </c>
      <c r="M269" s="1" t="s">
        <v>739</v>
      </c>
      <c r="N269" s="1" t="s">
        <v>740</v>
      </c>
      <c r="O269" s="1" t="s">
        <v>131</v>
      </c>
      <c r="P269" s="1" t="s">
        <v>741</v>
      </c>
      <c r="Q269" s="1" t="s">
        <v>742</v>
      </c>
    </row>
    <row r="270" spans="1:17" ht="15.75" customHeight="1" x14ac:dyDescent="0.25">
      <c r="A270" s="1" t="s">
        <v>743</v>
      </c>
      <c r="B270" s="1" t="s">
        <v>744</v>
      </c>
      <c r="C270" s="1" t="s">
        <v>745</v>
      </c>
      <c r="D270" s="1" t="s">
        <v>734</v>
      </c>
      <c r="E270" s="1" t="s">
        <v>746</v>
      </c>
      <c r="F270" s="1" t="s">
        <v>22</v>
      </c>
      <c r="G270" s="1" t="s">
        <v>747</v>
      </c>
      <c r="H270" s="1" t="s">
        <v>748</v>
      </c>
      <c r="I270" s="1" t="s">
        <v>749</v>
      </c>
      <c r="J270" s="1" t="s">
        <v>189</v>
      </c>
      <c r="K270" s="1">
        <v>2023</v>
      </c>
      <c r="L270" s="1">
        <v>4</v>
      </c>
      <c r="M270" s="1" t="s">
        <v>750</v>
      </c>
      <c r="N270" s="1" t="s">
        <v>751</v>
      </c>
      <c r="O270" s="1" t="s">
        <v>29</v>
      </c>
      <c r="P270" s="1" t="s">
        <v>752</v>
      </c>
      <c r="Q270" s="1" t="s">
        <v>753</v>
      </c>
    </row>
    <row r="271" spans="1:17" ht="15.75" customHeight="1" x14ac:dyDescent="0.25">
      <c r="A271" s="1" t="s">
        <v>754</v>
      </c>
      <c r="B271" s="1" t="s">
        <v>744</v>
      </c>
      <c r="C271" s="1" t="s">
        <v>755</v>
      </c>
      <c r="D271" s="1" t="s">
        <v>756</v>
      </c>
      <c r="E271" s="1" t="s">
        <v>757</v>
      </c>
      <c r="F271" s="1" t="s">
        <v>22</v>
      </c>
      <c r="G271" s="1" t="s">
        <v>758</v>
      </c>
      <c r="H271" s="1" t="s">
        <v>759</v>
      </c>
      <c r="I271" s="1" t="s">
        <v>760</v>
      </c>
      <c r="J271" s="1" t="s">
        <v>189</v>
      </c>
      <c r="K271" s="1">
        <v>2023</v>
      </c>
      <c r="L271" s="1">
        <v>13</v>
      </c>
      <c r="M271" s="1" t="s">
        <v>761</v>
      </c>
      <c r="N271" s="1" t="s">
        <v>762</v>
      </c>
      <c r="O271" s="1" t="s">
        <v>29</v>
      </c>
      <c r="P271" s="1" t="s">
        <v>763</v>
      </c>
      <c r="Q271" s="1" t="s">
        <v>764</v>
      </c>
    </row>
    <row r="272" spans="1:17" ht="15.75" customHeight="1" x14ac:dyDescent="0.25">
      <c r="A272" s="1" t="s">
        <v>765</v>
      </c>
      <c r="B272" s="1" t="s">
        <v>766</v>
      </c>
      <c r="C272" s="1" t="s">
        <v>767</v>
      </c>
      <c r="D272" s="1" t="s">
        <v>768</v>
      </c>
      <c r="E272" s="1" t="s">
        <v>769</v>
      </c>
      <c r="F272" s="1" t="s">
        <v>22</v>
      </c>
      <c r="G272" s="1" t="s">
        <v>770</v>
      </c>
      <c r="H272" s="1" t="s">
        <v>771</v>
      </c>
      <c r="I272" s="1" t="s">
        <v>772</v>
      </c>
      <c r="J272" s="1" t="s">
        <v>773</v>
      </c>
      <c r="K272" s="1">
        <v>2023</v>
      </c>
      <c r="L272" s="1">
        <v>6</v>
      </c>
      <c r="M272" s="1" t="s">
        <v>774</v>
      </c>
      <c r="N272" s="1" t="s">
        <v>775</v>
      </c>
      <c r="O272" s="1" t="s">
        <v>29</v>
      </c>
      <c r="P272" s="1" t="s">
        <v>776</v>
      </c>
      <c r="Q272" s="1" t="s">
        <v>777</v>
      </c>
    </row>
    <row r="273" spans="1:17" ht="15.75" customHeight="1" x14ac:dyDescent="0.25">
      <c r="A273" s="1" t="s">
        <v>778</v>
      </c>
      <c r="B273" s="1" t="s">
        <v>766</v>
      </c>
      <c r="C273" s="1" t="s">
        <v>779</v>
      </c>
      <c r="D273" s="1" t="s">
        <v>756</v>
      </c>
      <c r="E273" s="1" t="s">
        <v>780</v>
      </c>
      <c r="F273" s="1" t="s">
        <v>22</v>
      </c>
      <c r="G273" s="1" t="s">
        <v>781</v>
      </c>
      <c r="H273" s="1" t="s">
        <v>782</v>
      </c>
      <c r="I273" s="1" t="s">
        <v>783</v>
      </c>
      <c r="J273" s="1" t="s">
        <v>26</v>
      </c>
      <c r="K273" s="1">
        <v>2023</v>
      </c>
      <c r="L273" s="1">
        <v>18</v>
      </c>
      <c r="M273" s="1" t="s">
        <v>784</v>
      </c>
      <c r="N273" s="1" t="s">
        <v>785</v>
      </c>
      <c r="O273" s="1" t="s">
        <v>29</v>
      </c>
      <c r="P273" s="1" t="s">
        <v>786</v>
      </c>
      <c r="Q273" s="1" t="s">
        <v>787</v>
      </c>
    </row>
    <row r="274" spans="1:17" ht="15.75" customHeight="1" x14ac:dyDescent="0.25">
      <c r="A274" s="1" t="s">
        <v>788</v>
      </c>
      <c r="B274" s="1" t="s">
        <v>744</v>
      </c>
      <c r="C274" s="1" t="s">
        <v>789</v>
      </c>
      <c r="D274" s="1" t="s">
        <v>123</v>
      </c>
      <c r="E274" s="1" t="s">
        <v>790</v>
      </c>
      <c r="F274" s="1" t="s">
        <v>22</v>
      </c>
      <c r="G274" s="1" t="s">
        <v>791</v>
      </c>
      <c r="H274" s="1" t="s">
        <v>792</v>
      </c>
      <c r="I274" s="1" t="s">
        <v>793</v>
      </c>
      <c r="J274" s="1" t="s">
        <v>26</v>
      </c>
      <c r="K274" s="1">
        <v>2023</v>
      </c>
      <c r="L274" s="1">
        <v>16</v>
      </c>
      <c r="M274" s="1" t="s">
        <v>794</v>
      </c>
      <c r="N274" s="1" t="s">
        <v>795</v>
      </c>
      <c r="O274" s="1" t="s">
        <v>29</v>
      </c>
      <c r="P274" s="1" t="s">
        <v>796</v>
      </c>
      <c r="Q274" s="1" t="s">
        <v>797</v>
      </c>
    </row>
    <row r="275" spans="1:17" ht="15.75" customHeight="1" x14ac:dyDescent="0.25">
      <c r="A275" s="1" t="s">
        <v>798</v>
      </c>
      <c r="B275" s="1" t="s">
        <v>18</v>
      </c>
      <c r="C275" s="1" t="s">
        <v>19</v>
      </c>
      <c r="D275" s="1" t="s">
        <v>123</v>
      </c>
      <c r="E275" s="1" t="s">
        <v>274</v>
      </c>
      <c r="F275" s="1" t="s">
        <v>799</v>
      </c>
      <c r="G275" s="1" t="s">
        <v>800</v>
      </c>
      <c r="H275" s="1" t="s">
        <v>801</v>
      </c>
      <c r="I275" s="1" t="s">
        <v>802</v>
      </c>
      <c r="J275" s="1" t="s">
        <v>803</v>
      </c>
      <c r="K275" s="1">
        <v>2023</v>
      </c>
      <c r="L275" s="1">
        <v>1</v>
      </c>
      <c r="M275" s="1" t="s">
        <v>279</v>
      </c>
      <c r="N275" s="1" t="s">
        <v>28</v>
      </c>
      <c r="O275" s="1" t="s">
        <v>804</v>
      </c>
      <c r="P275" s="1" t="s">
        <v>805</v>
      </c>
      <c r="Q275" s="1" t="s">
        <v>806</v>
      </c>
    </row>
    <row r="276" spans="1:17" ht="15.75" customHeight="1" x14ac:dyDescent="0.25">
      <c r="A276" s="1" t="s">
        <v>807</v>
      </c>
      <c r="B276" s="1" t="s">
        <v>732</v>
      </c>
      <c r="C276" s="1" t="s">
        <v>808</v>
      </c>
      <c r="D276" s="1" t="s">
        <v>734</v>
      </c>
      <c r="E276" s="1" t="s">
        <v>809</v>
      </c>
      <c r="F276" s="1" t="s">
        <v>125</v>
      </c>
      <c r="G276" s="1" t="s">
        <v>810</v>
      </c>
      <c r="H276" s="1" t="s">
        <v>811</v>
      </c>
      <c r="I276" s="1" t="s">
        <v>812</v>
      </c>
      <c r="J276" s="1" t="s">
        <v>278</v>
      </c>
      <c r="K276" s="1">
        <v>2023</v>
      </c>
      <c r="L276" s="1">
        <v>6</v>
      </c>
      <c r="M276" s="1" t="s">
        <v>813</v>
      </c>
      <c r="N276" s="1" t="s">
        <v>814</v>
      </c>
      <c r="O276" s="1" t="s">
        <v>131</v>
      </c>
      <c r="P276" s="1" t="s">
        <v>815</v>
      </c>
      <c r="Q276" s="1" t="s">
        <v>816</v>
      </c>
    </row>
    <row r="277" spans="1:17" ht="15.75" customHeight="1" x14ac:dyDescent="0.25">
      <c r="A277" s="1" t="s">
        <v>817</v>
      </c>
      <c r="B277" s="1" t="s">
        <v>18</v>
      </c>
      <c r="C277" s="1" t="s">
        <v>19</v>
      </c>
      <c r="D277" s="1" t="s">
        <v>123</v>
      </c>
      <c r="E277" s="1" t="s">
        <v>124</v>
      </c>
      <c r="F277" s="1" t="s">
        <v>818</v>
      </c>
      <c r="G277" s="1" t="s">
        <v>819</v>
      </c>
      <c r="H277" s="1" t="s">
        <v>820</v>
      </c>
      <c r="I277" s="1" t="s">
        <v>821</v>
      </c>
      <c r="J277" s="1" t="s">
        <v>822</v>
      </c>
      <c r="K277" s="1">
        <v>2023</v>
      </c>
      <c r="L277" s="1">
        <v>12</v>
      </c>
      <c r="M277" s="1" t="s">
        <v>130</v>
      </c>
      <c r="N277" s="1" t="s">
        <v>28</v>
      </c>
      <c r="O277" s="1" t="s">
        <v>823</v>
      </c>
      <c r="P277" s="1" t="s">
        <v>824</v>
      </c>
      <c r="Q277" s="1" t="s">
        <v>825</v>
      </c>
    </row>
    <row r="278" spans="1:17" ht="15.75" customHeight="1" x14ac:dyDescent="0.25">
      <c r="A278" s="1" t="s">
        <v>798</v>
      </c>
      <c r="B278" s="1" t="s">
        <v>18</v>
      </c>
      <c r="C278" s="1" t="s">
        <v>19</v>
      </c>
      <c r="D278" s="1" t="s">
        <v>123</v>
      </c>
      <c r="E278" s="1" t="s">
        <v>124</v>
      </c>
      <c r="F278" s="1" t="s">
        <v>799</v>
      </c>
      <c r="G278" s="1" t="s">
        <v>135</v>
      </c>
      <c r="H278" s="1" t="s">
        <v>826</v>
      </c>
      <c r="I278" s="1" t="s">
        <v>827</v>
      </c>
      <c r="J278" s="1" t="s">
        <v>803</v>
      </c>
      <c r="K278" s="1">
        <v>2023</v>
      </c>
      <c r="L278" s="1">
        <v>18</v>
      </c>
      <c r="M278" s="1" t="s">
        <v>130</v>
      </c>
      <c r="N278" s="1" t="s">
        <v>28</v>
      </c>
      <c r="O278" s="1" t="s">
        <v>804</v>
      </c>
      <c r="P278" s="1" t="s">
        <v>138</v>
      </c>
      <c r="Q278" s="1" t="s">
        <v>828</v>
      </c>
    </row>
    <row r="279" spans="1:17" ht="15.75" customHeight="1" x14ac:dyDescent="0.25">
      <c r="A279" s="1" t="s">
        <v>829</v>
      </c>
      <c r="B279" s="1" t="s">
        <v>744</v>
      </c>
      <c r="C279" s="1" t="s">
        <v>830</v>
      </c>
      <c r="D279" s="1" t="s">
        <v>734</v>
      </c>
      <c r="E279" s="1" t="s">
        <v>746</v>
      </c>
      <c r="F279" s="1" t="s">
        <v>125</v>
      </c>
      <c r="G279" s="1" t="s">
        <v>831</v>
      </c>
      <c r="H279" s="1" t="s">
        <v>832</v>
      </c>
      <c r="I279" s="1" t="s">
        <v>833</v>
      </c>
      <c r="J279" s="1" t="s">
        <v>672</v>
      </c>
      <c r="K279" s="1">
        <v>2023</v>
      </c>
      <c r="L279" s="1">
        <v>11</v>
      </c>
      <c r="M279" s="1" t="s">
        <v>750</v>
      </c>
      <c r="N279" s="1" t="s">
        <v>834</v>
      </c>
      <c r="O279" s="1" t="s">
        <v>131</v>
      </c>
      <c r="P279" s="1" t="s">
        <v>835</v>
      </c>
      <c r="Q279" s="1" t="s">
        <v>836</v>
      </c>
    </row>
    <row r="280" spans="1:17" ht="15.75" customHeight="1" x14ac:dyDescent="0.25">
      <c r="A280" s="1" t="s">
        <v>837</v>
      </c>
      <c r="B280" s="1" t="s">
        <v>18</v>
      </c>
      <c r="C280" s="1" t="s">
        <v>19</v>
      </c>
      <c r="D280" s="1" t="s">
        <v>123</v>
      </c>
      <c r="E280" s="1" t="s">
        <v>124</v>
      </c>
      <c r="F280" s="1" t="s">
        <v>22</v>
      </c>
      <c r="G280" s="1" t="s">
        <v>707</v>
      </c>
      <c r="H280" s="1" t="s">
        <v>838</v>
      </c>
      <c r="I280" s="1" t="s">
        <v>839</v>
      </c>
      <c r="J280" s="1" t="s">
        <v>26</v>
      </c>
      <c r="K280" s="1">
        <v>2023</v>
      </c>
      <c r="L280" s="1">
        <v>14</v>
      </c>
      <c r="M280" s="1" t="s">
        <v>130</v>
      </c>
      <c r="N280" s="1" t="s">
        <v>28</v>
      </c>
      <c r="O280" s="1" t="s">
        <v>29</v>
      </c>
      <c r="P280" s="1" t="s">
        <v>710</v>
      </c>
      <c r="Q280" s="1" t="s">
        <v>840</v>
      </c>
    </row>
    <row r="281" spans="1:17" ht="15.75" customHeight="1" x14ac:dyDescent="0.25">
      <c r="A281" s="1" t="s">
        <v>841</v>
      </c>
      <c r="B281" s="1" t="s">
        <v>18</v>
      </c>
      <c r="C281" s="1" t="s">
        <v>19</v>
      </c>
      <c r="D281" s="1" t="s">
        <v>734</v>
      </c>
      <c r="E281" s="1" t="s">
        <v>842</v>
      </c>
      <c r="F281" s="1" t="s">
        <v>22</v>
      </c>
      <c r="G281" s="1" t="s">
        <v>843</v>
      </c>
      <c r="H281" s="1" t="s">
        <v>844</v>
      </c>
      <c r="I281" s="1" t="s">
        <v>845</v>
      </c>
      <c r="J281" s="1" t="s">
        <v>189</v>
      </c>
      <c r="K281" s="1">
        <v>2023</v>
      </c>
      <c r="L281" s="1">
        <v>4</v>
      </c>
      <c r="M281" s="1" t="s">
        <v>846</v>
      </c>
      <c r="N281" s="1" t="s">
        <v>28</v>
      </c>
      <c r="O281" s="1" t="s">
        <v>29</v>
      </c>
      <c r="P281" s="1" t="s">
        <v>847</v>
      </c>
      <c r="Q281" s="1" t="s">
        <v>848</v>
      </c>
    </row>
    <row r="282" spans="1:17" ht="15.75" customHeight="1" x14ac:dyDescent="0.25">
      <c r="A282" s="1" t="s">
        <v>849</v>
      </c>
      <c r="B282" s="1" t="s">
        <v>732</v>
      </c>
      <c r="C282" s="1" t="s">
        <v>850</v>
      </c>
      <c r="D282" s="1" t="s">
        <v>734</v>
      </c>
      <c r="E282" s="1" t="s">
        <v>735</v>
      </c>
      <c r="F282" s="1" t="s">
        <v>125</v>
      </c>
      <c r="G282" s="1" t="s">
        <v>851</v>
      </c>
      <c r="H282" s="1" t="s">
        <v>852</v>
      </c>
      <c r="I282" s="1" t="s">
        <v>853</v>
      </c>
      <c r="J282" s="1" t="s">
        <v>672</v>
      </c>
      <c r="K282" s="1">
        <v>2023</v>
      </c>
      <c r="L282" s="1">
        <v>5</v>
      </c>
      <c r="M282" s="1" t="s">
        <v>739</v>
      </c>
      <c r="N282" s="1" t="s">
        <v>854</v>
      </c>
      <c r="O282" s="1" t="s">
        <v>131</v>
      </c>
      <c r="P282" s="1" t="s">
        <v>855</v>
      </c>
      <c r="Q282" s="1" t="s">
        <v>856</v>
      </c>
    </row>
    <row r="283" spans="1:17" ht="15.75" customHeight="1" x14ac:dyDescent="0.25">
      <c r="A283" s="1" t="s">
        <v>798</v>
      </c>
      <c r="B283" s="1" t="s">
        <v>18</v>
      </c>
      <c r="C283" s="1" t="s">
        <v>19</v>
      </c>
      <c r="D283" s="1" t="s">
        <v>123</v>
      </c>
      <c r="E283" s="1" t="s">
        <v>124</v>
      </c>
      <c r="F283" s="1" t="s">
        <v>799</v>
      </c>
      <c r="G283" s="1" t="s">
        <v>135</v>
      </c>
      <c r="H283" s="1" t="s">
        <v>857</v>
      </c>
      <c r="I283" s="1" t="s">
        <v>858</v>
      </c>
      <c r="J283" s="1" t="s">
        <v>803</v>
      </c>
      <c r="K283" s="1">
        <v>2023</v>
      </c>
      <c r="L283" s="1">
        <v>24</v>
      </c>
      <c r="M283" s="1" t="s">
        <v>130</v>
      </c>
      <c r="N283" s="1" t="s">
        <v>28</v>
      </c>
      <c r="O283" s="1" t="s">
        <v>804</v>
      </c>
      <c r="P283" s="1" t="s">
        <v>138</v>
      </c>
      <c r="Q283" s="1" t="s">
        <v>859</v>
      </c>
    </row>
    <row r="284" spans="1:17" ht="15.75" customHeight="1" x14ac:dyDescent="0.25">
      <c r="A284" s="1" t="s">
        <v>860</v>
      </c>
      <c r="B284" s="1" t="s">
        <v>18</v>
      </c>
      <c r="C284" s="1" t="s">
        <v>19</v>
      </c>
      <c r="D284" s="1" t="s">
        <v>734</v>
      </c>
      <c r="E284" s="1" t="s">
        <v>842</v>
      </c>
      <c r="F284" s="1" t="s">
        <v>125</v>
      </c>
      <c r="G284" s="1" t="s">
        <v>843</v>
      </c>
      <c r="H284" s="1" t="s">
        <v>861</v>
      </c>
      <c r="I284" s="1" t="s">
        <v>862</v>
      </c>
      <c r="J284" s="1" t="s">
        <v>863</v>
      </c>
      <c r="K284" s="1">
        <v>2023</v>
      </c>
      <c r="L284" s="1">
        <v>4</v>
      </c>
      <c r="M284" s="1" t="s">
        <v>846</v>
      </c>
      <c r="N284" s="1" t="s">
        <v>28</v>
      </c>
      <c r="O284" s="1" t="s">
        <v>131</v>
      </c>
      <c r="P284" s="1" t="s">
        <v>847</v>
      </c>
      <c r="Q284" s="1" t="s">
        <v>864</v>
      </c>
    </row>
    <row r="285" spans="1:17" ht="15.75" customHeight="1" x14ac:dyDescent="0.25">
      <c r="A285" s="1" t="s">
        <v>865</v>
      </c>
      <c r="B285" s="1" t="s">
        <v>18</v>
      </c>
      <c r="C285" s="1" t="s">
        <v>19</v>
      </c>
      <c r="D285" s="1" t="s">
        <v>123</v>
      </c>
      <c r="E285" s="1" t="s">
        <v>124</v>
      </c>
      <c r="F285" s="1" t="s">
        <v>125</v>
      </c>
      <c r="G285" s="1" t="s">
        <v>819</v>
      </c>
      <c r="H285" s="1" t="s">
        <v>866</v>
      </c>
      <c r="I285" s="1" t="s">
        <v>867</v>
      </c>
      <c r="J285" s="1" t="s">
        <v>129</v>
      </c>
      <c r="K285" s="1">
        <v>2023</v>
      </c>
      <c r="L285" s="1">
        <v>16</v>
      </c>
      <c r="M285" s="1" t="s">
        <v>130</v>
      </c>
      <c r="N285" s="1" t="s">
        <v>28</v>
      </c>
      <c r="O285" s="1" t="s">
        <v>131</v>
      </c>
      <c r="P285" s="1" t="s">
        <v>824</v>
      </c>
      <c r="Q285" s="1" t="s">
        <v>868</v>
      </c>
    </row>
    <row r="286" spans="1:17" ht="15.75" customHeight="1" x14ac:dyDescent="0.25">
      <c r="A286" s="1" t="s">
        <v>869</v>
      </c>
      <c r="B286" s="1" t="s">
        <v>744</v>
      </c>
      <c r="C286" s="1" t="s">
        <v>745</v>
      </c>
      <c r="D286" s="1" t="s">
        <v>734</v>
      </c>
      <c r="E286" s="1" t="s">
        <v>842</v>
      </c>
      <c r="F286" s="1" t="s">
        <v>22</v>
      </c>
      <c r="G286" s="1" t="s">
        <v>870</v>
      </c>
      <c r="H286" s="1" t="s">
        <v>871</v>
      </c>
      <c r="I286" s="1" t="s">
        <v>872</v>
      </c>
      <c r="J286" s="1" t="s">
        <v>189</v>
      </c>
      <c r="K286" s="1">
        <v>2023</v>
      </c>
      <c r="L286" s="1">
        <v>2</v>
      </c>
      <c r="M286" s="1" t="s">
        <v>846</v>
      </c>
      <c r="N286" s="1" t="s">
        <v>751</v>
      </c>
      <c r="O286" s="1" t="s">
        <v>29</v>
      </c>
      <c r="P286" s="1" t="s">
        <v>873</v>
      </c>
      <c r="Q286" s="1" t="s">
        <v>874</v>
      </c>
    </row>
    <row r="287" spans="1:17" ht="15.75" customHeight="1" x14ac:dyDescent="0.25">
      <c r="A287" s="1" t="s">
        <v>817</v>
      </c>
      <c r="B287" s="1" t="s">
        <v>18</v>
      </c>
      <c r="C287" s="1" t="s">
        <v>19</v>
      </c>
      <c r="D287" s="1" t="s">
        <v>123</v>
      </c>
      <c r="E287" s="1" t="s">
        <v>124</v>
      </c>
      <c r="F287" s="1" t="s">
        <v>818</v>
      </c>
      <c r="G287" s="1" t="s">
        <v>819</v>
      </c>
      <c r="H287" s="1" t="s">
        <v>875</v>
      </c>
      <c r="I287" s="1" t="s">
        <v>876</v>
      </c>
      <c r="J287" s="1" t="s">
        <v>822</v>
      </c>
      <c r="K287" s="1">
        <v>2023</v>
      </c>
      <c r="L287" s="1">
        <v>24</v>
      </c>
      <c r="M287" s="1" t="s">
        <v>130</v>
      </c>
      <c r="N287" s="1" t="s">
        <v>28</v>
      </c>
      <c r="O287" s="1" t="s">
        <v>823</v>
      </c>
      <c r="P287" s="1" t="s">
        <v>824</v>
      </c>
      <c r="Q287" s="1" t="s">
        <v>877</v>
      </c>
    </row>
    <row r="288" spans="1:17" ht="15.75" customHeight="1" x14ac:dyDescent="0.25">
      <c r="A288" s="1" t="s">
        <v>878</v>
      </c>
      <c r="B288" s="1" t="s">
        <v>18</v>
      </c>
      <c r="C288" s="1" t="s">
        <v>19</v>
      </c>
      <c r="D288" s="1" t="s">
        <v>123</v>
      </c>
      <c r="E288" s="1" t="s">
        <v>124</v>
      </c>
      <c r="F288" s="1" t="s">
        <v>125</v>
      </c>
      <c r="G288" s="1" t="s">
        <v>135</v>
      </c>
      <c r="H288" s="2" t="s">
        <v>879</v>
      </c>
      <c r="I288" s="2" t="s">
        <v>880</v>
      </c>
      <c r="J288" s="1" t="s">
        <v>129</v>
      </c>
      <c r="K288" s="1">
        <v>2023</v>
      </c>
      <c r="L288" s="1">
        <v>3</v>
      </c>
      <c r="M288" s="1" t="s">
        <v>130</v>
      </c>
      <c r="N288" s="1" t="s">
        <v>28</v>
      </c>
      <c r="O288" s="1" t="s">
        <v>131</v>
      </c>
      <c r="P288" s="1" t="s">
        <v>138</v>
      </c>
      <c r="Q288" s="2" t="s">
        <v>881</v>
      </c>
    </row>
    <row r="289" spans="1:17" ht="15.75" customHeight="1" x14ac:dyDescent="0.25">
      <c r="A289" s="1" t="s">
        <v>882</v>
      </c>
      <c r="B289" s="1" t="s">
        <v>18</v>
      </c>
      <c r="C289" s="1" t="s">
        <v>19</v>
      </c>
      <c r="D289" s="1" t="s">
        <v>734</v>
      </c>
      <c r="E289" s="1" t="s">
        <v>746</v>
      </c>
      <c r="F289" s="1" t="s">
        <v>22</v>
      </c>
      <c r="G289" s="1" t="s">
        <v>883</v>
      </c>
      <c r="H289" s="1" t="s">
        <v>884</v>
      </c>
      <c r="I289" s="1" t="s">
        <v>885</v>
      </c>
      <c r="J289" s="1" t="s">
        <v>26</v>
      </c>
      <c r="K289" s="1">
        <v>2023</v>
      </c>
      <c r="L289" s="1">
        <v>16</v>
      </c>
      <c r="M289" s="1" t="s">
        <v>750</v>
      </c>
      <c r="N289" s="1" t="s">
        <v>28</v>
      </c>
      <c r="O289" s="1" t="s">
        <v>29</v>
      </c>
      <c r="P289" s="1" t="s">
        <v>886</v>
      </c>
      <c r="Q289" s="1" t="s">
        <v>887</v>
      </c>
    </row>
    <row r="290" spans="1:17" ht="15.75" customHeight="1" x14ac:dyDescent="0.25">
      <c r="A290" s="1" t="s">
        <v>888</v>
      </c>
      <c r="B290" s="1" t="s">
        <v>18</v>
      </c>
      <c r="C290" s="1" t="s">
        <v>19</v>
      </c>
      <c r="D290" s="1" t="s">
        <v>123</v>
      </c>
      <c r="E290" s="1" t="s">
        <v>124</v>
      </c>
      <c r="F290" s="1" t="s">
        <v>889</v>
      </c>
      <c r="G290" s="1" t="s">
        <v>135</v>
      </c>
      <c r="H290" s="1" t="s">
        <v>890</v>
      </c>
      <c r="I290" s="1" t="s">
        <v>891</v>
      </c>
      <c r="J290" s="1" t="s">
        <v>892</v>
      </c>
      <c r="K290" s="1">
        <v>2023</v>
      </c>
      <c r="L290" s="1">
        <v>3</v>
      </c>
      <c r="M290" s="1" t="s">
        <v>130</v>
      </c>
      <c r="N290" s="1" t="s">
        <v>28</v>
      </c>
      <c r="O290" s="1" t="s">
        <v>893</v>
      </c>
      <c r="P290" s="1" t="s">
        <v>138</v>
      </c>
      <c r="Q290" s="1" t="s">
        <v>894</v>
      </c>
    </row>
    <row r="291" spans="1:17" ht="15.75" customHeight="1" x14ac:dyDescent="0.25">
      <c r="A291" s="1" t="s">
        <v>895</v>
      </c>
      <c r="B291" s="1" t="s">
        <v>744</v>
      </c>
      <c r="C291" s="1" t="s">
        <v>745</v>
      </c>
      <c r="D291" s="1" t="s">
        <v>734</v>
      </c>
      <c r="E291" s="1" t="s">
        <v>746</v>
      </c>
      <c r="F291" s="1" t="s">
        <v>125</v>
      </c>
      <c r="G291" s="1" t="s">
        <v>747</v>
      </c>
      <c r="H291" s="1" t="s">
        <v>896</v>
      </c>
      <c r="I291" s="1" t="s">
        <v>897</v>
      </c>
      <c r="J291" s="1" t="s">
        <v>672</v>
      </c>
      <c r="K291" s="1">
        <v>2023</v>
      </c>
      <c r="L291" s="1">
        <v>7</v>
      </c>
      <c r="M291" s="1" t="s">
        <v>750</v>
      </c>
      <c r="N291" s="1" t="s">
        <v>751</v>
      </c>
      <c r="O291" s="1" t="s">
        <v>131</v>
      </c>
      <c r="P291" s="1" t="s">
        <v>752</v>
      </c>
      <c r="Q291" s="1" t="s">
        <v>898</v>
      </c>
    </row>
    <row r="292" spans="1:17" ht="15.75" customHeight="1" x14ac:dyDescent="0.25">
      <c r="A292" s="1" t="s">
        <v>899</v>
      </c>
      <c r="B292" s="1" t="s">
        <v>732</v>
      </c>
      <c r="C292" s="1" t="s">
        <v>850</v>
      </c>
      <c r="D292" s="1" t="s">
        <v>123</v>
      </c>
      <c r="E292" s="1" t="s">
        <v>274</v>
      </c>
      <c r="F292" s="1" t="s">
        <v>900</v>
      </c>
      <c r="G292" s="1" t="s">
        <v>275</v>
      </c>
      <c r="H292" s="1" t="s">
        <v>901</v>
      </c>
      <c r="I292" s="1" t="s">
        <v>902</v>
      </c>
      <c r="J292" s="1" t="s">
        <v>903</v>
      </c>
      <c r="K292" s="1">
        <v>2023</v>
      </c>
      <c r="L292" s="1">
        <v>7</v>
      </c>
      <c r="M292" s="1" t="s">
        <v>279</v>
      </c>
      <c r="N292" s="1" t="s">
        <v>854</v>
      </c>
      <c r="O292" s="1" t="s">
        <v>904</v>
      </c>
      <c r="P292" s="1" t="s">
        <v>280</v>
      </c>
      <c r="Q292" s="1" t="s">
        <v>905</v>
      </c>
    </row>
    <row r="293" spans="1:17" ht="15.75" customHeight="1" x14ac:dyDescent="0.25">
      <c r="A293" s="1" t="s">
        <v>906</v>
      </c>
      <c r="B293" s="1" t="s">
        <v>18</v>
      </c>
      <c r="C293" s="1" t="s">
        <v>19</v>
      </c>
      <c r="D293" s="1" t="s">
        <v>123</v>
      </c>
      <c r="E293" s="1" t="s">
        <v>124</v>
      </c>
      <c r="F293" s="1" t="s">
        <v>907</v>
      </c>
      <c r="G293" s="1" t="s">
        <v>135</v>
      </c>
      <c r="H293" s="1" t="s">
        <v>908</v>
      </c>
      <c r="I293" s="1" t="s">
        <v>909</v>
      </c>
      <c r="J293" s="1" t="s">
        <v>910</v>
      </c>
      <c r="K293" s="1">
        <v>2023</v>
      </c>
      <c r="L293" s="1">
        <v>21</v>
      </c>
      <c r="M293" s="1" t="s">
        <v>130</v>
      </c>
      <c r="N293" s="1" t="s">
        <v>28</v>
      </c>
      <c r="O293" s="1" t="s">
        <v>911</v>
      </c>
      <c r="P293" s="1" t="s">
        <v>138</v>
      </c>
      <c r="Q293" s="1" t="s">
        <v>912</v>
      </c>
    </row>
    <row r="294" spans="1:17" ht="15.75" customHeight="1" x14ac:dyDescent="0.25">
      <c r="A294" s="1" t="s">
        <v>913</v>
      </c>
      <c r="B294" s="1" t="s">
        <v>18</v>
      </c>
      <c r="C294" s="1" t="s">
        <v>19</v>
      </c>
      <c r="D294" s="1" t="s">
        <v>123</v>
      </c>
      <c r="E294" s="1" t="s">
        <v>124</v>
      </c>
      <c r="F294" s="1" t="s">
        <v>914</v>
      </c>
      <c r="G294" s="1" t="s">
        <v>135</v>
      </c>
      <c r="H294" s="1" t="s">
        <v>915</v>
      </c>
      <c r="I294" s="1" t="s">
        <v>916</v>
      </c>
      <c r="J294" s="1" t="s">
        <v>917</v>
      </c>
      <c r="K294" s="1">
        <v>2023</v>
      </c>
      <c r="L294" s="1">
        <v>22</v>
      </c>
      <c r="M294" s="1" t="s">
        <v>130</v>
      </c>
      <c r="N294" s="1" t="s">
        <v>28</v>
      </c>
      <c r="O294" s="1" t="s">
        <v>918</v>
      </c>
      <c r="P294" s="1" t="s">
        <v>138</v>
      </c>
      <c r="Q294" s="1" t="s">
        <v>919</v>
      </c>
    </row>
    <row r="295" spans="1:17" ht="15.75" customHeight="1" x14ac:dyDescent="0.25">
      <c r="A295" s="1" t="s">
        <v>920</v>
      </c>
      <c r="B295" s="1" t="s">
        <v>18</v>
      </c>
      <c r="C295" s="1" t="s">
        <v>19</v>
      </c>
      <c r="D295" s="1" t="s">
        <v>667</v>
      </c>
      <c r="E295" s="1" t="s">
        <v>668</v>
      </c>
      <c r="F295" s="1" t="s">
        <v>125</v>
      </c>
      <c r="G295" s="1" t="s">
        <v>921</v>
      </c>
      <c r="H295" s="1" t="s">
        <v>922</v>
      </c>
      <c r="I295" s="1" t="s">
        <v>923</v>
      </c>
      <c r="J295" s="1" t="s">
        <v>278</v>
      </c>
      <c r="K295" s="1">
        <v>2023</v>
      </c>
      <c r="L295" s="1">
        <v>17</v>
      </c>
      <c r="M295" s="1" t="s">
        <v>673</v>
      </c>
      <c r="N295" s="1" t="s">
        <v>28</v>
      </c>
      <c r="O295" s="1" t="s">
        <v>131</v>
      </c>
      <c r="P295" s="1" t="s">
        <v>924</v>
      </c>
      <c r="Q295" s="1" t="s">
        <v>925</v>
      </c>
    </row>
    <row r="296" spans="1:17" ht="15.75" customHeight="1" x14ac:dyDescent="0.25">
      <c r="A296" s="1" t="s">
        <v>926</v>
      </c>
      <c r="B296" s="1" t="s">
        <v>18</v>
      </c>
      <c r="C296" s="1" t="s">
        <v>19</v>
      </c>
      <c r="D296" s="1" t="s">
        <v>123</v>
      </c>
      <c r="E296" s="1" t="s">
        <v>124</v>
      </c>
      <c r="F296" s="1" t="s">
        <v>22</v>
      </c>
      <c r="G296" s="1" t="s">
        <v>135</v>
      </c>
      <c r="H296" s="1" t="s">
        <v>927</v>
      </c>
      <c r="I296" s="1" t="s">
        <v>928</v>
      </c>
      <c r="J296" s="1" t="s">
        <v>26</v>
      </c>
      <c r="K296" s="1">
        <v>2023</v>
      </c>
      <c r="L296" s="1">
        <v>17</v>
      </c>
      <c r="M296" s="1" t="s">
        <v>130</v>
      </c>
      <c r="N296" s="1" t="s">
        <v>28</v>
      </c>
      <c r="O296" s="1" t="s">
        <v>29</v>
      </c>
      <c r="P296" s="1" t="s">
        <v>138</v>
      </c>
      <c r="Q296" s="1" t="s">
        <v>929</v>
      </c>
    </row>
    <row r="297" spans="1:17" ht="15.75" customHeight="1" x14ac:dyDescent="0.25">
      <c r="A297" s="1" t="s">
        <v>727</v>
      </c>
      <c r="B297" s="1" t="s">
        <v>18</v>
      </c>
      <c r="C297" s="1" t="s">
        <v>19</v>
      </c>
      <c r="D297" s="1" t="s">
        <v>123</v>
      </c>
      <c r="E297" s="1" t="s">
        <v>124</v>
      </c>
      <c r="F297" s="1" t="s">
        <v>22</v>
      </c>
      <c r="G297" s="1" t="s">
        <v>135</v>
      </c>
      <c r="H297" s="1" t="s">
        <v>728</v>
      </c>
      <c r="I297" s="1" t="s">
        <v>729</v>
      </c>
      <c r="J297" s="1" t="s">
        <v>26</v>
      </c>
      <c r="K297" s="1">
        <v>2023</v>
      </c>
      <c r="L297" s="1">
        <v>10</v>
      </c>
      <c r="M297" s="1" t="s">
        <v>130</v>
      </c>
      <c r="N297" s="1" t="s">
        <v>28</v>
      </c>
      <c r="O297" s="1" t="s">
        <v>29</v>
      </c>
      <c r="P297" s="1" t="s">
        <v>138</v>
      </c>
      <c r="Q297" s="1" t="s">
        <v>930</v>
      </c>
    </row>
    <row r="298" spans="1:17" ht="15.75" customHeight="1" x14ac:dyDescent="0.25">
      <c r="A298" s="1" t="s">
        <v>931</v>
      </c>
      <c r="B298" s="1" t="s">
        <v>18</v>
      </c>
      <c r="C298" s="1" t="s">
        <v>19</v>
      </c>
      <c r="D298" s="1" t="s">
        <v>123</v>
      </c>
      <c r="E298" s="1" t="s">
        <v>274</v>
      </c>
      <c r="F298" s="1" t="s">
        <v>914</v>
      </c>
      <c r="G298" s="1" t="s">
        <v>275</v>
      </c>
      <c r="H298" s="1" t="s">
        <v>932</v>
      </c>
      <c r="I298" s="1" t="s">
        <v>933</v>
      </c>
      <c r="J298" s="1" t="s">
        <v>934</v>
      </c>
      <c r="K298" s="1">
        <v>2023</v>
      </c>
      <c r="L298" s="1">
        <v>7</v>
      </c>
      <c r="M298" s="1" t="s">
        <v>279</v>
      </c>
      <c r="N298" s="1" t="s">
        <v>28</v>
      </c>
      <c r="O298" s="1" t="s">
        <v>918</v>
      </c>
      <c r="P298" s="1" t="s">
        <v>280</v>
      </c>
      <c r="Q298" s="1" t="s">
        <v>935</v>
      </c>
    </row>
    <row r="299" spans="1:17" ht="15.75" customHeight="1" x14ac:dyDescent="0.25">
      <c r="A299" s="1" t="s">
        <v>936</v>
      </c>
      <c r="B299" s="1" t="s">
        <v>732</v>
      </c>
      <c r="C299" s="1" t="s">
        <v>808</v>
      </c>
      <c r="D299" s="1" t="s">
        <v>734</v>
      </c>
      <c r="E299" s="1" t="s">
        <v>809</v>
      </c>
      <c r="F299" s="1" t="s">
        <v>22</v>
      </c>
      <c r="G299" s="1" t="s">
        <v>937</v>
      </c>
      <c r="H299" s="1" t="s">
        <v>938</v>
      </c>
      <c r="I299" s="1" t="s">
        <v>939</v>
      </c>
      <c r="J299" s="1" t="s">
        <v>189</v>
      </c>
      <c r="K299" s="1">
        <v>2023</v>
      </c>
      <c r="L299" s="1">
        <v>10</v>
      </c>
      <c r="M299" s="1" t="s">
        <v>813</v>
      </c>
      <c r="N299" s="1" t="s">
        <v>814</v>
      </c>
      <c r="O299" s="1" t="s">
        <v>29</v>
      </c>
      <c r="P299" s="1" t="s">
        <v>940</v>
      </c>
      <c r="Q299" s="1" t="s">
        <v>941</v>
      </c>
    </row>
    <row r="300" spans="1:17" ht="15.75" customHeight="1" x14ac:dyDescent="0.25">
      <c r="A300" s="1" t="s">
        <v>942</v>
      </c>
      <c r="B300" s="1" t="s">
        <v>18</v>
      </c>
      <c r="C300" s="1" t="s">
        <v>19</v>
      </c>
      <c r="D300" s="1" t="s">
        <v>123</v>
      </c>
      <c r="E300" s="1" t="s">
        <v>124</v>
      </c>
      <c r="F300" s="1" t="s">
        <v>22</v>
      </c>
      <c r="G300" s="1" t="s">
        <v>135</v>
      </c>
      <c r="H300" s="1" t="s">
        <v>943</v>
      </c>
      <c r="I300" s="1" t="s">
        <v>944</v>
      </c>
      <c r="J300" s="1" t="s">
        <v>26</v>
      </c>
      <c r="K300" s="1">
        <v>2023</v>
      </c>
      <c r="L300" s="1">
        <v>22</v>
      </c>
      <c r="M300" s="1" t="s">
        <v>130</v>
      </c>
      <c r="N300" s="1" t="s">
        <v>28</v>
      </c>
      <c r="O300" s="1" t="s">
        <v>29</v>
      </c>
      <c r="P300" s="1" t="s">
        <v>138</v>
      </c>
      <c r="Q300" s="1" t="s">
        <v>945</v>
      </c>
    </row>
    <row r="301" spans="1:17" ht="15.75" customHeight="1" x14ac:dyDescent="0.25">
      <c r="A301" s="1" t="s">
        <v>720</v>
      </c>
      <c r="B301" s="1" t="s">
        <v>18</v>
      </c>
      <c r="C301" s="1" t="s">
        <v>19</v>
      </c>
      <c r="D301" s="1" t="s">
        <v>123</v>
      </c>
      <c r="E301" s="1" t="s">
        <v>124</v>
      </c>
      <c r="F301" s="1" t="s">
        <v>721</v>
      </c>
      <c r="G301" s="1" t="s">
        <v>135</v>
      </c>
      <c r="H301" s="1" t="s">
        <v>946</v>
      </c>
      <c r="I301" s="1" t="s">
        <v>947</v>
      </c>
      <c r="J301" s="1" t="s">
        <v>724</v>
      </c>
      <c r="K301" s="1">
        <v>2023</v>
      </c>
      <c r="L301" s="1">
        <v>22</v>
      </c>
      <c r="M301" s="1" t="s">
        <v>130</v>
      </c>
      <c r="N301" s="1" t="s">
        <v>28</v>
      </c>
      <c r="O301" s="1" t="s">
        <v>725</v>
      </c>
      <c r="P301" s="1" t="s">
        <v>138</v>
      </c>
      <c r="Q301" s="1" t="s">
        <v>948</v>
      </c>
    </row>
    <row r="302" spans="1:17" ht="15.75" customHeight="1" x14ac:dyDescent="0.25">
      <c r="A302" s="1" t="s">
        <v>488</v>
      </c>
      <c r="B302" s="1" t="s">
        <v>744</v>
      </c>
      <c r="C302" s="1" t="s">
        <v>949</v>
      </c>
      <c r="D302" s="1" t="s">
        <v>20</v>
      </c>
      <c r="E302" s="1" t="s">
        <v>21</v>
      </c>
      <c r="F302" s="1" t="s">
        <v>22</v>
      </c>
      <c r="G302" s="1" t="s">
        <v>298</v>
      </c>
      <c r="H302" s="1" t="s">
        <v>950</v>
      </c>
      <c r="I302" s="1" t="s">
        <v>951</v>
      </c>
      <c r="J302" s="1" t="s">
        <v>26</v>
      </c>
      <c r="K302" s="1">
        <v>2023</v>
      </c>
      <c r="L302" s="1">
        <v>4</v>
      </c>
      <c r="M302" s="1" t="s">
        <v>27</v>
      </c>
      <c r="N302" s="1" t="s">
        <v>952</v>
      </c>
      <c r="O302" s="1" t="s">
        <v>29</v>
      </c>
      <c r="P302" s="1" t="s">
        <v>301</v>
      </c>
      <c r="Q302" s="1" t="s">
        <v>953</v>
      </c>
    </row>
    <row r="303" spans="1:17" ht="15.75" customHeight="1" x14ac:dyDescent="0.25">
      <c r="A303" s="1" t="s">
        <v>954</v>
      </c>
      <c r="B303" s="1" t="s">
        <v>18</v>
      </c>
      <c r="C303" s="1" t="s">
        <v>19</v>
      </c>
      <c r="D303" s="1" t="s">
        <v>123</v>
      </c>
      <c r="E303" s="1" t="s">
        <v>124</v>
      </c>
      <c r="F303" s="1" t="s">
        <v>22</v>
      </c>
      <c r="G303" s="1" t="s">
        <v>819</v>
      </c>
      <c r="H303" s="1" t="s">
        <v>955</v>
      </c>
      <c r="I303" s="1" t="s">
        <v>956</v>
      </c>
      <c r="J303" s="1" t="s">
        <v>26</v>
      </c>
      <c r="K303" s="1">
        <v>2023</v>
      </c>
      <c r="L303" s="1">
        <v>10</v>
      </c>
      <c r="M303" s="1" t="s">
        <v>130</v>
      </c>
      <c r="N303" s="1" t="s">
        <v>28</v>
      </c>
      <c r="O303" s="1" t="s">
        <v>29</v>
      </c>
      <c r="P303" s="1" t="s">
        <v>824</v>
      </c>
      <c r="Q303" s="1" t="s">
        <v>957</v>
      </c>
    </row>
    <row r="304" spans="1:17" ht="15.75" customHeight="1" x14ac:dyDescent="0.25">
      <c r="A304" s="1" t="s">
        <v>958</v>
      </c>
      <c r="B304" s="1" t="s">
        <v>18</v>
      </c>
      <c r="C304" s="1" t="s">
        <v>19</v>
      </c>
      <c r="D304" s="1" t="s">
        <v>123</v>
      </c>
      <c r="E304" s="1" t="s">
        <v>274</v>
      </c>
      <c r="F304" s="1" t="s">
        <v>125</v>
      </c>
      <c r="G304" s="1" t="s">
        <v>959</v>
      </c>
      <c r="H304" s="1" t="s">
        <v>960</v>
      </c>
      <c r="I304" s="1" t="s">
        <v>961</v>
      </c>
      <c r="J304" s="1" t="s">
        <v>278</v>
      </c>
      <c r="K304" s="1">
        <v>2023</v>
      </c>
      <c r="L304" s="1">
        <v>8</v>
      </c>
      <c r="M304" s="1" t="s">
        <v>279</v>
      </c>
      <c r="N304" s="1" t="s">
        <v>28</v>
      </c>
      <c r="O304" s="1" t="s">
        <v>131</v>
      </c>
      <c r="P304" s="1" t="s">
        <v>962</v>
      </c>
      <c r="Q304" s="1" t="s">
        <v>963</v>
      </c>
    </row>
    <row r="305" spans="1:17" ht="15.75" customHeight="1" x14ac:dyDescent="0.25">
      <c r="A305" s="1" t="s">
        <v>964</v>
      </c>
      <c r="B305" s="1" t="s">
        <v>744</v>
      </c>
      <c r="C305" s="1" t="s">
        <v>789</v>
      </c>
      <c r="D305" s="1" t="s">
        <v>123</v>
      </c>
      <c r="E305" s="1" t="s">
        <v>790</v>
      </c>
      <c r="F305" s="1" t="s">
        <v>125</v>
      </c>
      <c r="G305" s="1" t="s">
        <v>791</v>
      </c>
      <c r="H305" s="1" t="s">
        <v>965</v>
      </c>
      <c r="I305" s="1" t="s">
        <v>966</v>
      </c>
      <c r="J305" s="1" t="s">
        <v>278</v>
      </c>
      <c r="K305" s="1">
        <v>2023</v>
      </c>
      <c r="L305" s="1">
        <v>7</v>
      </c>
      <c r="M305" s="1" t="s">
        <v>794</v>
      </c>
      <c r="N305" s="1" t="s">
        <v>795</v>
      </c>
      <c r="O305" s="1" t="s">
        <v>131</v>
      </c>
      <c r="P305" s="1" t="s">
        <v>796</v>
      </c>
      <c r="Q305" s="1" t="s">
        <v>967</v>
      </c>
    </row>
    <row r="306" spans="1:17" ht="15.75" customHeight="1" x14ac:dyDescent="0.25">
      <c r="A306" s="1" t="s">
        <v>798</v>
      </c>
      <c r="B306" s="1" t="s">
        <v>18</v>
      </c>
      <c r="C306" s="1" t="s">
        <v>19</v>
      </c>
      <c r="D306" s="1" t="s">
        <v>123</v>
      </c>
      <c r="E306" s="1" t="s">
        <v>124</v>
      </c>
      <c r="F306" s="1" t="s">
        <v>799</v>
      </c>
      <c r="G306" s="1" t="s">
        <v>135</v>
      </c>
      <c r="H306" s="1" t="s">
        <v>968</v>
      </c>
      <c r="I306" s="1" t="s">
        <v>969</v>
      </c>
      <c r="J306" s="1" t="s">
        <v>803</v>
      </c>
      <c r="K306" s="1">
        <v>2023</v>
      </c>
      <c r="L306" s="1">
        <v>6</v>
      </c>
      <c r="M306" s="1" t="s">
        <v>130</v>
      </c>
      <c r="N306" s="1" t="s">
        <v>28</v>
      </c>
      <c r="O306" s="1" t="s">
        <v>804</v>
      </c>
      <c r="P306" s="1" t="s">
        <v>138</v>
      </c>
      <c r="Q306" s="1" t="s">
        <v>970</v>
      </c>
    </row>
    <row r="307" spans="1:17" ht="15.75" customHeight="1" x14ac:dyDescent="0.25">
      <c r="A307" s="1" t="s">
        <v>971</v>
      </c>
      <c r="B307" s="1" t="s">
        <v>18</v>
      </c>
      <c r="C307" s="1" t="s">
        <v>19</v>
      </c>
      <c r="D307" s="1" t="s">
        <v>123</v>
      </c>
      <c r="E307" s="1" t="s">
        <v>274</v>
      </c>
      <c r="F307" s="1" t="s">
        <v>125</v>
      </c>
      <c r="G307" s="1" t="s">
        <v>972</v>
      </c>
      <c r="H307" s="1" t="s">
        <v>973</v>
      </c>
      <c r="I307" s="1" t="s">
        <v>974</v>
      </c>
      <c r="J307" s="1" t="s">
        <v>278</v>
      </c>
      <c r="K307" s="1">
        <v>2023</v>
      </c>
      <c r="L307" s="1">
        <v>17</v>
      </c>
      <c r="M307" s="1" t="s">
        <v>279</v>
      </c>
      <c r="N307" s="1" t="s">
        <v>28</v>
      </c>
      <c r="O307" s="1" t="s">
        <v>131</v>
      </c>
      <c r="P307" s="1" t="s">
        <v>975</v>
      </c>
      <c r="Q307" s="1" t="s">
        <v>976</v>
      </c>
    </row>
    <row r="308" spans="1:17" ht="15.75" customHeight="1" x14ac:dyDescent="0.25">
      <c r="A308" s="1" t="s">
        <v>977</v>
      </c>
      <c r="B308" s="1" t="s">
        <v>18</v>
      </c>
      <c r="C308" s="1" t="s">
        <v>19</v>
      </c>
      <c r="D308" s="1" t="s">
        <v>123</v>
      </c>
      <c r="E308" s="1" t="s">
        <v>274</v>
      </c>
      <c r="F308" s="1" t="s">
        <v>900</v>
      </c>
      <c r="G308" s="1" t="s">
        <v>800</v>
      </c>
      <c r="H308" s="1" t="s">
        <v>978</v>
      </c>
      <c r="I308" s="1" t="s">
        <v>979</v>
      </c>
      <c r="J308" s="1" t="s">
        <v>903</v>
      </c>
      <c r="K308" s="1">
        <v>2023</v>
      </c>
      <c r="L308" s="1">
        <v>2</v>
      </c>
      <c r="M308" s="1" t="s">
        <v>279</v>
      </c>
      <c r="N308" s="1" t="s">
        <v>28</v>
      </c>
      <c r="O308" s="1" t="s">
        <v>904</v>
      </c>
      <c r="P308" s="1" t="s">
        <v>805</v>
      </c>
      <c r="Q308" s="1" t="s">
        <v>980</v>
      </c>
    </row>
    <row r="309" spans="1:17" ht="15.75" customHeight="1" x14ac:dyDescent="0.25">
      <c r="A309" s="1" t="s">
        <v>942</v>
      </c>
      <c r="B309" s="1" t="s">
        <v>18</v>
      </c>
      <c r="C309" s="1" t="s">
        <v>19</v>
      </c>
      <c r="D309" s="1" t="s">
        <v>123</v>
      </c>
      <c r="E309" s="1" t="s">
        <v>124</v>
      </c>
      <c r="F309" s="1" t="s">
        <v>22</v>
      </c>
      <c r="G309" s="1" t="s">
        <v>135</v>
      </c>
      <c r="H309" s="1" t="s">
        <v>981</v>
      </c>
      <c r="I309" s="1" t="s">
        <v>982</v>
      </c>
      <c r="J309" s="1" t="s">
        <v>26</v>
      </c>
      <c r="K309" s="1">
        <v>2023</v>
      </c>
      <c r="L309" s="1">
        <v>4</v>
      </c>
      <c r="M309" s="1" t="s">
        <v>130</v>
      </c>
      <c r="N309" s="1" t="s">
        <v>28</v>
      </c>
      <c r="O309" s="1" t="s">
        <v>29</v>
      </c>
      <c r="P309" s="1" t="s">
        <v>138</v>
      </c>
      <c r="Q309" s="1" t="s">
        <v>983</v>
      </c>
    </row>
    <row r="310" spans="1:17" ht="15.75" customHeight="1" x14ac:dyDescent="0.25">
      <c r="A310" s="1" t="s">
        <v>984</v>
      </c>
      <c r="B310" s="1" t="s">
        <v>18</v>
      </c>
      <c r="C310" s="1" t="s">
        <v>19</v>
      </c>
      <c r="D310" s="1" t="s">
        <v>123</v>
      </c>
      <c r="E310" s="1" t="s">
        <v>274</v>
      </c>
      <c r="F310" s="1" t="s">
        <v>22</v>
      </c>
      <c r="G310" s="1" t="s">
        <v>972</v>
      </c>
      <c r="H310" s="1" t="s">
        <v>985</v>
      </c>
      <c r="I310" s="1" t="s">
        <v>986</v>
      </c>
      <c r="J310" s="1" t="s">
        <v>26</v>
      </c>
      <c r="K310" s="1">
        <v>2023</v>
      </c>
      <c r="L310" s="1">
        <v>15</v>
      </c>
      <c r="M310" s="1" t="s">
        <v>279</v>
      </c>
      <c r="N310" s="1" t="s">
        <v>28</v>
      </c>
      <c r="O310" s="1" t="s">
        <v>29</v>
      </c>
      <c r="P310" s="1" t="s">
        <v>975</v>
      </c>
      <c r="Q310" s="1" t="s">
        <v>987</v>
      </c>
    </row>
    <row r="311" spans="1:17" ht="15.75" customHeight="1" x14ac:dyDescent="0.25">
      <c r="A311" s="1" t="s">
        <v>988</v>
      </c>
      <c r="B311" s="1" t="s">
        <v>744</v>
      </c>
      <c r="C311" s="1" t="s">
        <v>755</v>
      </c>
      <c r="D311" s="1" t="s">
        <v>756</v>
      </c>
      <c r="E311" s="1" t="s">
        <v>757</v>
      </c>
      <c r="F311" s="1" t="s">
        <v>22</v>
      </c>
      <c r="G311" s="1" t="s">
        <v>989</v>
      </c>
      <c r="H311" s="1" t="s">
        <v>990</v>
      </c>
      <c r="I311" s="1" t="s">
        <v>991</v>
      </c>
      <c r="J311" s="1" t="s">
        <v>189</v>
      </c>
      <c r="K311" s="1">
        <v>2023</v>
      </c>
      <c r="L311" s="1">
        <v>1</v>
      </c>
      <c r="M311" s="1" t="s">
        <v>761</v>
      </c>
      <c r="N311" s="1" t="s">
        <v>762</v>
      </c>
      <c r="O311" s="1" t="s">
        <v>29</v>
      </c>
      <c r="P311" s="1" t="s">
        <v>992</v>
      </c>
      <c r="Q311" s="1" t="s">
        <v>993</v>
      </c>
    </row>
    <row r="312" spans="1:17" ht="15.75" customHeight="1" x14ac:dyDescent="0.25">
      <c r="A312" s="1" t="s">
        <v>994</v>
      </c>
      <c r="B312" s="1" t="s">
        <v>744</v>
      </c>
      <c r="C312" s="1" t="s">
        <v>830</v>
      </c>
      <c r="D312" s="1" t="s">
        <v>734</v>
      </c>
      <c r="E312" s="1" t="s">
        <v>746</v>
      </c>
      <c r="F312" s="1" t="s">
        <v>22</v>
      </c>
      <c r="G312" s="1" t="s">
        <v>995</v>
      </c>
      <c r="H312" s="1" t="s">
        <v>996</v>
      </c>
      <c r="I312" s="1" t="s">
        <v>997</v>
      </c>
      <c r="J312" s="1" t="s">
        <v>998</v>
      </c>
      <c r="K312" s="1">
        <v>2023</v>
      </c>
      <c r="L312" s="1">
        <v>16</v>
      </c>
      <c r="M312" s="1" t="s">
        <v>750</v>
      </c>
      <c r="N312" s="1" t="s">
        <v>834</v>
      </c>
      <c r="O312" s="1" t="s">
        <v>29</v>
      </c>
      <c r="P312" s="1" t="s">
        <v>999</v>
      </c>
      <c r="Q312" s="1" t="s">
        <v>1000</v>
      </c>
    </row>
    <row r="313" spans="1:17" ht="15.75" customHeight="1" x14ac:dyDescent="0.25">
      <c r="A313" s="1" t="s">
        <v>1001</v>
      </c>
      <c r="B313" s="1" t="s">
        <v>18</v>
      </c>
      <c r="C313" s="1" t="s">
        <v>19</v>
      </c>
      <c r="D313" s="1" t="s">
        <v>123</v>
      </c>
      <c r="E313" s="1" t="s">
        <v>124</v>
      </c>
      <c r="F313" s="1" t="s">
        <v>22</v>
      </c>
      <c r="G313" s="1" t="s">
        <v>1002</v>
      </c>
      <c r="H313" s="1" t="s">
        <v>1003</v>
      </c>
      <c r="I313" s="1" t="s">
        <v>1004</v>
      </c>
      <c r="J313" s="1" t="s">
        <v>26</v>
      </c>
      <c r="K313" s="1">
        <v>2023</v>
      </c>
      <c r="L313" s="1">
        <v>9</v>
      </c>
      <c r="M313" s="1" t="s">
        <v>130</v>
      </c>
      <c r="N313" s="1" t="s">
        <v>28</v>
      </c>
      <c r="O313" s="1" t="s">
        <v>29</v>
      </c>
      <c r="P313" s="1" t="s">
        <v>1005</v>
      </c>
      <c r="Q313" s="1" t="s">
        <v>1006</v>
      </c>
    </row>
    <row r="314" spans="1:17" ht="15.75" customHeight="1" x14ac:dyDescent="0.25">
      <c r="A314" s="1" t="s">
        <v>1007</v>
      </c>
      <c r="B314" s="1" t="s">
        <v>18</v>
      </c>
      <c r="C314" s="1" t="s">
        <v>19</v>
      </c>
      <c r="D314" s="1" t="s">
        <v>734</v>
      </c>
      <c r="E314" s="1" t="s">
        <v>842</v>
      </c>
      <c r="F314" s="1" t="s">
        <v>125</v>
      </c>
      <c r="G314" s="1" t="s">
        <v>1008</v>
      </c>
      <c r="H314" s="1" t="s">
        <v>1009</v>
      </c>
      <c r="I314" s="1" t="s">
        <v>1010</v>
      </c>
      <c r="J314" s="1" t="s">
        <v>278</v>
      </c>
      <c r="K314" s="1">
        <v>2023</v>
      </c>
      <c r="L314" s="1">
        <v>17</v>
      </c>
      <c r="M314" s="1" t="s">
        <v>846</v>
      </c>
      <c r="N314" s="1" t="s">
        <v>28</v>
      </c>
      <c r="O314" s="1" t="s">
        <v>131</v>
      </c>
      <c r="P314" s="1" t="s">
        <v>1011</v>
      </c>
      <c r="Q314" s="1" t="s">
        <v>1012</v>
      </c>
    </row>
    <row r="315" spans="1:17" ht="15.75" customHeight="1" x14ac:dyDescent="0.25">
      <c r="A315" s="1" t="s">
        <v>1013</v>
      </c>
      <c r="B315" s="1" t="s">
        <v>18</v>
      </c>
      <c r="C315" s="1" t="s">
        <v>19</v>
      </c>
      <c r="D315" s="1" t="s">
        <v>768</v>
      </c>
      <c r="E315" s="1" t="s">
        <v>1014</v>
      </c>
      <c r="F315" s="1" t="s">
        <v>22</v>
      </c>
      <c r="G315" s="1" t="s">
        <v>1015</v>
      </c>
      <c r="H315" s="1" t="s">
        <v>1016</v>
      </c>
      <c r="I315" s="1" t="s">
        <v>1017</v>
      </c>
      <c r="J315" s="1" t="s">
        <v>26</v>
      </c>
      <c r="K315" s="1">
        <v>2023</v>
      </c>
      <c r="L315" s="1">
        <v>5</v>
      </c>
      <c r="M315" s="1" t="s">
        <v>1018</v>
      </c>
      <c r="N315" s="1" t="s">
        <v>28</v>
      </c>
      <c r="O315" s="1" t="s">
        <v>29</v>
      </c>
      <c r="P315" s="1" t="s">
        <v>1019</v>
      </c>
      <c r="Q315" s="1" t="s">
        <v>1020</v>
      </c>
    </row>
    <row r="316" spans="1:17" ht="15.75" customHeight="1" x14ac:dyDescent="0.25">
      <c r="A316" s="1" t="s">
        <v>1021</v>
      </c>
      <c r="B316" s="1" t="s">
        <v>18</v>
      </c>
      <c r="C316" s="1" t="s">
        <v>19</v>
      </c>
      <c r="D316" s="1" t="s">
        <v>123</v>
      </c>
      <c r="E316" s="1" t="s">
        <v>124</v>
      </c>
      <c r="F316" s="1" t="s">
        <v>22</v>
      </c>
      <c r="G316" s="1" t="s">
        <v>135</v>
      </c>
      <c r="H316" s="1" t="s">
        <v>1022</v>
      </c>
      <c r="I316" s="1" t="s">
        <v>1023</v>
      </c>
      <c r="J316" s="1" t="s">
        <v>26</v>
      </c>
      <c r="K316" s="1">
        <v>2023</v>
      </c>
      <c r="L316" s="1">
        <v>15</v>
      </c>
      <c r="M316" s="1" t="s">
        <v>130</v>
      </c>
      <c r="N316" s="1" t="s">
        <v>28</v>
      </c>
      <c r="O316" s="1" t="s">
        <v>29</v>
      </c>
      <c r="P316" s="1" t="s">
        <v>138</v>
      </c>
      <c r="Q316" s="1" t="s">
        <v>1024</v>
      </c>
    </row>
    <row r="317" spans="1:17" ht="15.75" customHeight="1" x14ac:dyDescent="0.25">
      <c r="A317" s="1" t="s">
        <v>837</v>
      </c>
      <c r="B317" s="1" t="s">
        <v>18</v>
      </c>
      <c r="C317" s="1" t="s">
        <v>19</v>
      </c>
      <c r="D317" s="1" t="s">
        <v>123</v>
      </c>
      <c r="E317" s="1" t="s">
        <v>124</v>
      </c>
      <c r="F317" s="1" t="s">
        <v>22</v>
      </c>
      <c r="G317" s="1" t="s">
        <v>707</v>
      </c>
      <c r="H317" s="1" t="s">
        <v>1025</v>
      </c>
      <c r="I317" s="1" t="s">
        <v>1026</v>
      </c>
      <c r="J317" s="1" t="s">
        <v>26</v>
      </c>
      <c r="K317" s="1">
        <v>2023</v>
      </c>
      <c r="L317" s="1">
        <v>14</v>
      </c>
      <c r="M317" s="1" t="s">
        <v>130</v>
      </c>
      <c r="N317" s="1" t="s">
        <v>28</v>
      </c>
      <c r="O317" s="1" t="s">
        <v>29</v>
      </c>
      <c r="P317" s="1" t="s">
        <v>710</v>
      </c>
      <c r="Q317" s="1" t="s">
        <v>1027</v>
      </c>
    </row>
    <row r="318" spans="1:17" ht="15.75" customHeight="1" x14ac:dyDescent="0.25">
      <c r="A318" s="1" t="s">
        <v>926</v>
      </c>
      <c r="B318" s="1" t="s">
        <v>18</v>
      </c>
      <c r="C318" s="1" t="s">
        <v>19</v>
      </c>
      <c r="D318" s="1" t="s">
        <v>123</v>
      </c>
      <c r="E318" s="1" t="s">
        <v>124</v>
      </c>
      <c r="F318" s="1" t="s">
        <v>22</v>
      </c>
      <c r="G318" s="1" t="s">
        <v>135</v>
      </c>
      <c r="H318" s="1" t="s">
        <v>1028</v>
      </c>
      <c r="I318" s="1" t="s">
        <v>1029</v>
      </c>
      <c r="J318" s="1" t="s">
        <v>26</v>
      </c>
      <c r="K318" s="1">
        <v>2023</v>
      </c>
      <c r="L318" s="1">
        <v>10</v>
      </c>
      <c r="M318" s="1" t="s">
        <v>130</v>
      </c>
      <c r="N318" s="1" t="s">
        <v>28</v>
      </c>
      <c r="O318" s="1" t="s">
        <v>29</v>
      </c>
      <c r="P318" s="1" t="s">
        <v>138</v>
      </c>
      <c r="Q318" s="1" t="s">
        <v>1030</v>
      </c>
    </row>
    <row r="319" spans="1:17" ht="15.75" customHeight="1" x14ac:dyDescent="0.25">
      <c r="A319" s="1" t="s">
        <v>1021</v>
      </c>
      <c r="B319" s="1" t="s">
        <v>18</v>
      </c>
      <c r="C319" s="1" t="s">
        <v>19</v>
      </c>
      <c r="D319" s="1" t="s">
        <v>123</v>
      </c>
      <c r="E319" s="1" t="s">
        <v>124</v>
      </c>
      <c r="F319" s="1" t="s">
        <v>22</v>
      </c>
      <c r="G319" s="1" t="s">
        <v>135</v>
      </c>
      <c r="H319" s="1" t="s">
        <v>1031</v>
      </c>
      <c r="I319" s="1" t="s">
        <v>1032</v>
      </c>
      <c r="J319" s="1" t="s">
        <v>26</v>
      </c>
      <c r="K319" s="1">
        <v>2023</v>
      </c>
      <c r="L319" s="1">
        <v>15</v>
      </c>
      <c r="M319" s="1" t="s">
        <v>130</v>
      </c>
      <c r="N319" s="1" t="s">
        <v>28</v>
      </c>
      <c r="O319" s="1" t="s">
        <v>29</v>
      </c>
      <c r="P319" s="1" t="s">
        <v>138</v>
      </c>
      <c r="Q319" s="1" t="s">
        <v>1033</v>
      </c>
    </row>
    <row r="320" spans="1:17" ht="15.75" customHeight="1" x14ac:dyDescent="0.25">
      <c r="A320" s="1" t="s">
        <v>1034</v>
      </c>
      <c r="B320" s="1" t="s">
        <v>18</v>
      </c>
      <c r="C320" s="1" t="s">
        <v>19</v>
      </c>
      <c r="D320" s="1" t="s">
        <v>123</v>
      </c>
      <c r="E320" s="1" t="s">
        <v>274</v>
      </c>
      <c r="F320" s="1" t="s">
        <v>900</v>
      </c>
      <c r="G320" s="1" t="s">
        <v>1035</v>
      </c>
      <c r="H320" s="1" t="s">
        <v>1036</v>
      </c>
      <c r="I320" s="1" t="s">
        <v>1037</v>
      </c>
      <c r="J320" s="1" t="s">
        <v>903</v>
      </c>
      <c r="K320" s="1">
        <v>2023</v>
      </c>
      <c r="L320" s="1">
        <v>21</v>
      </c>
      <c r="M320" s="1" t="s">
        <v>279</v>
      </c>
      <c r="N320" s="1" t="s">
        <v>28</v>
      </c>
      <c r="O320" s="1" t="s">
        <v>904</v>
      </c>
      <c r="P320" s="1" t="s">
        <v>1038</v>
      </c>
      <c r="Q320" s="1" t="s">
        <v>1039</v>
      </c>
    </row>
    <row r="321" spans="1:17" ht="15.75" customHeight="1" x14ac:dyDescent="0.25">
      <c r="A321" s="1" t="s">
        <v>716</v>
      </c>
      <c r="B321" s="1" t="s">
        <v>18</v>
      </c>
      <c r="C321" s="1" t="s">
        <v>19</v>
      </c>
      <c r="D321" s="1" t="s">
        <v>123</v>
      </c>
      <c r="E321" s="1" t="s">
        <v>124</v>
      </c>
      <c r="F321" s="1" t="s">
        <v>22</v>
      </c>
      <c r="G321" s="1" t="s">
        <v>707</v>
      </c>
      <c r="H321" s="1" t="s">
        <v>1040</v>
      </c>
      <c r="I321" s="1" t="s">
        <v>1041</v>
      </c>
      <c r="J321" s="1" t="s">
        <v>26</v>
      </c>
      <c r="K321" s="1">
        <v>2023</v>
      </c>
      <c r="L321" s="1">
        <v>19</v>
      </c>
      <c r="M321" s="1" t="s">
        <v>130</v>
      </c>
      <c r="N321" s="1" t="s">
        <v>28</v>
      </c>
      <c r="O321" s="1" t="s">
        <v>29</v>
      </c>
      <c r="P321" s="1" t="s">
        <v>710</v>
      </c>
      <c r="Q321" s="1" t="s">
        <v>1042</v>
      </c>
    </row>
    <row r="322" spans="1:17" ht="15.75" customHeight="1" x14ac:dyDescent="0.25">
      <c r="A322" s="1" t="s">
        <v>1043</v>
      </c>
      <c r="B322" s="1" t="s">
        <v>744</v>
      </c>
      <c r="C322" s="1" t="s">
        <v>830</v>
      </c>
      <c r="D322" s="1" t="s">
        <v>734</v>
      </c>
      <c r="E322" s="1" t="s">
        <v>746</v>
      </c>
      <c r="F322" s="1" t="s">
        <v>22</v>
      </c>
      <c r="G322" s="1" t="s">
        <v>1044</v>
      </c>
      <c r="H322" s="1" t="s">
        <v>1045</v>
      </c>
      <c r="I322" s="1" t="s">
        <v>1046</v>
      </c>
      <c r="J322" s="1" t="s">
        <v>189</v>
      </c>
      <c r="K322" s="1">
        <v>2023</v>
      </c>
      <c r="L322" s="1">
        <v>7</v>
      </c>
      <c r="M322" s="1" t="s">
        <v>750</v>
      </c>
      <c r="N322" s="1" t="s">
        <v>834</v>
      </c>
      <c r="O322" s="1" t="s">
        <v>29</v>
      </c>
      <c r="P322" s="1" t="s">
        <v>1047</v>
      </c>
      <c r="Q322" s="1" t="s">
        <v>1048</v>
      </c>
    </row>
    <row r="323" spans="1:17" ht="15.75" customHeight="1" x14ac:dyDescent="0.25">
      <c r="A323" s="1" t="s">
        <v>1049</v>
      </c>
      <c r="B323" s="1" t="s">
        <v>18</v>
      </c>
      <c r="C323" s="1" t="s">
        <v>19</v>
      </c>
      <c r="D323" s="1" t="s">
        <v>667</v>
      </c>
      <c r="E323" s="1" t="s">
        <v>1050</v>
      </c>
      <c r="F323" s="1" t="s">
        <v>22</v>
      </c>
      <c r="G323" s="1" t="s">
        <v>1051</v>
      </c>
      <c r="H323" s="1" t="s">
        <v>1052</v>
      </c>
      <c r="I323" s="1" t="s">
        <v>1053</v>
      </c>
      <c r="J323" s="1" t="s">
        <v>26</v>
      </c>
      <c r="K323" s="1">
        <v>2023</v>
      </c>
      <c r="L323" s="1">
        <v>15</v>
      </c>
      <c r="M323" s="1" t="s">
        <v>1054</v>
      </c>
      <c r="N323" s="1" t="s">
        <v>28</v>
      </c>
      <c r="O323" s="1" t="s">
        <v>29</v>
      </c>
      <c r="P323" s="1" t="s">
        <v>1055</v>
      </c>
      <c r="Q323" s="1" t="s">
        <v>1056</v>
      </c>
    </row>
    <row r="324" spans="1:17" ht="15.75" customHeight="1" x14ac:dyDescent="0.25">
      <c r="A324" s="1" t="s">
        <v>1057</v>
      </c>
      <c r="B324" s="1" t="s">
        <v>744</v>
      </c>
      <c r="C324" s="1" t="s">
        <v>789</v>
      </c>
      <c r="D324" s="1" t="s">
        <v>123</v>
      </c>
      <c r="E324" s="1" t="s">
        <v>790</v>
      </c>
      <c r="F324" s="1" t="s">
        <v>125</v>
      </c>
      <c r="G324" s="1" t="s">
        <v>1058</v>
      </c>
      <c r="H324" s="1" t="s">
        <v>1059</v>
      </c>
      <c r="I324" s="1" t="s">
        <v>1060</v>
      </c>
      <c r="J324" s="1" t="s">
        <v>278</v>
      </c>
      <c r="K324" s="1">
        <v>2023</v>
      </c>
      <c r="L324" s="1">
        <v>1</v>
      </c>
      <c r="M324" s="1" t="s">
        <v>794</v>
      </c>
      <c r="N324" s="1" t="s">
        <v>795</v>
      </c>
      <c r="O324" s="1" t="s">
        <v>131</v>
      </c>
      <c r="P324" s="1" t="s">
        <v>1061</v>
      </c>
      <c r="Q324" s="1" t="s">
        <v>1062</v>
      </c>
    </row>
    <row r="325" spans="1:17" ht="15.75" customHeight="1" x14ac:dyDescent="0.25">
      <c r="A325" s="1" t="s">
        <v>1063</v>
      </c>
      <c r="B325" s="1" t="s">
        <v>18</v>
      </c>
      <c r="C325" s="1" t="s">
        <v>19</v>
      </c>
      <c r="D325" s="1" t="s">
        <v>123</v>
      </c>
      <c r="E325" s="1" t="s">
        <v>124</v>
      </c>
      <c r="F325" s="1" t="s">
        <v>22</v>
      </c>
      <c r="G325" s="1" t="s">
        <v>1064</v>
      </c>
      <c r="H325" s="1" t="s">
        <v>1065</v>
      </c>
      <c r="I325" s="1" t="s">
        <v>1066</v>
      </c>
      <c r="J325" s="1" t="s">
        <v>26</v>
      </c>
      <c r="K325" s="1">
        <v>2023</v>
      </c>
      <c r="L325" s="1">
        <v>14</v>
      </c>
      <c r="M325" s="1" t="s">
        <v>130</v>
      </c>
      <c r="N325" s="1" t="s">
        <v>28</v>
      </c>
      <c r="O325" s="1" t="s">
        <v>29</v>
      </c>
      <c r="P325" s="1" t="s">
        <v>1067</v>
      </c>
      <c r="Q325" s="1" t="s">
        <v>1068</v>
      </c>
    </row>
    <row r="326" spans="1:17" ht="15.75" customHeight="1" x14ac:dyDescent="0.25">
      <c r="A326" s="1" t="s">
        <v>1069</v>
      </c>
      <c r="B326" s="1" t="s">
        <v>18</v>
      </c>
      <c r="C326" s="1" t="s">
        <v>19</v>
      </c>
      <c r="D326" s="1" t="s">
        <v>123</v>
      </c>
      <c r="E326" s="1" t="s">
        <v>274</v>
      </c>
      <c r="F326" s="1" t="s">
        <v>22</v>
      </c>
      <c r="G326" s="1" t="s">
        <v>275</v>
      </c>
      <c r="H326" s="1" t="s">
        <v>1070</v>
      </c>
      <c r="I326" s="1" t="s">
        <v>1071</v>
      </c>
      <c r="J326" s="1" t="s">
        <v>26</v>
      </c>
      <c r="K326" s="1">
        <v>2023</v>
      </c>
      <c r="L326" s="1">
        <v>12</v>
      </c>
      <c r="M326" s="1" t="s">
        <v>279</v>
      </c>
      <c r="N326" s="1" t="s">
        <v>28</v>
      </c>
      <c r="O326" s="1" t="s">
        <v>29</v>
      </c>
      <c r="P326" s="1" t="s">
        <v>280</v>
      </c>
      <c r="Q326" s="1" t="s">
        <v>1072</v>
      </c>
    </row>
    <row r="327" spans="1:17" ht="15.75" customHeight="1" x14ac:dyDescent="0.25">
      <c r="A327" s="1" t="s">
        <v>1073</v>
      </c>
      <c r="B327" s="1" t="s">
        <v>18</v>
      </c>
      <c r="C327" s="1" t="s">
        <v>19</v>
      </c>
      <c r="D327" s="1" t="s">
        <v>667</v>
      </c>
      <c r="E327" s="1" t="s">
        <v>1050</v>
      </c>
      <c r="F327" s="1" t="s">
        <v>22</v>
      </c>
      <c r="G327" s="1" t="s">
        <v>1074</v>
      </c>
      <c r="H327" s="1" t="s">
        <v>1075</v>
      </c>
      <c r="I327" s="1" t="s">
        <v>1076</v>
      </c>
      <c r="J327" s="1" t="s">
        <v>26</v>
      </c>
      <c r="K327" s="1">
        <v>2023</v>
      </c>
      <c r="L327" s="1">
        <v>19</v>
      </c>
      <c r="M327" s="1" t="s">
        <v>1054</v>
      </c>
      <c r="N327" s="1" t="s">
        <v>28</v>
      </c>
      <c r="O327" s="1" t="s">
        <v>29</v>
      </c>
      <c r="P327" s="1" t="s">
        <v>1077</v>
      </c>
      <c r="Q327" s="1" t="s">
        <v>1078</v>
      </c>
    </row>
    <row r="328" spans="1:17" ht="15.75" customHeight="1" x14ac:dyDescent="0.25">
      <c r="A328" s="1" t="s">
        <v>1079</v>
      </c>
      <c r="B328" s="1" t="s">
        <v>18</v>
      </c>
      <c r="C328" s="1" t="s">
        <v>19</v>
      </c>
      <c r="D328" s="1" t="s">
        <v>123</v>
      </c>
      <c r="E328" s="1" t="s">
        <v>274</v>
      </c>
      <c r="F328" s="1" t="s">
        <v>125</v>
      </c>
      <c r="G328" s="1" t="s">
        <v>1035</v>
      </c>
      <c r="H328" s="2">
        <v>2884670000000</v>
      </c>
      <c r="I328" s="1" t="s">
        <v>1080</v>
      </c>
      <c r="J328" s="1" t="s">
        <v>347</v>
      </c>
      <c r="K328" s="1">
        <v>2023</v>
      </c>
      <c r="L328" s="1">
        <v>11</v>
      </c>
      <c r="M328" s="1" t="s">
        <v>279</v>
      </c>
      <c r="N328" s="1" t="s">
        <v>28</v>
      </c>
      <c r="O328" s="1" t="s">
        <v>131</v>
      </c>
      <c r="P328" s="1" t="s">
        <v>1038</v>
      </c>
      <c r="Q328" s="2">
        <v>2.8846699999999999E+33</v>
      </c>
    </row>
    <row r="329" spans="1:17" ht="15.75" customHeight="1" x14ac:dyDescent="0.25">
      <c r="A329" s="1" t="s">
        <v>1081</v>
      </c>
      <c r="B329" s="1" t="s">
        <v>18</v>
      </c>
      <c r="C329" s="1" t="s">
        <v>19</v>
      </c>
      <c r="D329" s="1" t="s">
        <v>123</v>
      </c>
      <c r="E329" s="1" t="s">
        <v>124</v>
      </c>
      <c r="F329" s="1" t="s">
        <v>22</v>
      </c>
      <c r="G329" s="1" t="s">
        <v>1082</v>
      </c>
      <c r="H329" s="1" t="s">
        <v>1083</v>
      </c>
      <c r="I329" s="1" t="s">
        <v>1084</v>
      </c>
      <c r="J329" s="1" t="s">
        <v>26</v>
      </c>
      <c r="K329" s="1">
        <v>2023</v>
      </c>
      <c r="L329" s="1">
        <v>23</v>
      </c>
      <c r="M329" s="1" t="s">
        <v>130</v>
      </c>
      <c r="N329" s="1" t="s">
        <v>28</v>
      </c>
      <c r="O329" s="1" t="s">
        <v>29</v>
      </c>
      <c r="P329" s="1" t="s">
        <v>1085</v>
      </c>
      <c r="Q329" s="1" t="s">
        <v>1086</v>
      </c>
    </row>
    <row r="330" spans="1:17" ht="15.75" customHeight="1" x14ac:dyDescent="0.25">
      <c r="A330" s="1" t="s">
        <v>878</v>
      </c>
      <c r="B330" s="1" t="s">
        <v>18</v>
      </c>
      <c r="C330" s="1" t="s">
        <v>19</v>
      </c>
      <c r="D330" s="1" t="s">
        <v>123</v>
      </c>
      <c r="E330" s="1" t="s">
        <v>124</v>
      </c>
      <c r="F330" s="1" t="s">
        <v>125</v>
      </c>
      <c r="G330" s="1" t="s">
        <v>135</v>
      </c>
      <c r="H330" s="1" t="s">
        <v>1087</v>
      </c>
      <c r="I330" s="1" t="s">
        <v>1088</v>
      </c>
      <c r="J330" s="1" t="s">
        <v>129</v>
      </c>
      <c r="K330" s="1">
        <v>2023</v>
      </c>
      <c r="L330" s="1">
        <v>3</v>
      </c>
      <c r="M330" s="1" t="s">
        <v>130</v>
      </c>
      <c r="N330" s="1" t="s">
        <v>28</v>
      </c>
      <c r="O330" s="1" t="s">
        <v>131</v>
      </c>
      <c r="P330" s="1" t="s">
        <v>138</v>
      </c>
      <c r="Q330" s="1" t="s">
        <v>1089</v>
      </c>
    </row>
    <row r="331" spans="1:17" ht="15.75" customHeight="1" x14ac:dyDescent="0.25">
      <c r="A331" s="1" t="s">
        <v>1090</v>
      </c>
      <c r="B331" s="1" t="s">
        <v>732</v>
      </c>
      <c r="C331" s="1" t="s">
        <v>808</v>
      </c>
      <c r="D331" s="1" t="s">
        <v>734</v>
      </c>
      <c r="E331" s="1" t="s">
        <v>809</v>
      </c>
      <c r="F331" s="1" t="s">
        <v>22</v>
      </c>
      <c r="G331" s="1" t="s">
        <v>1091</v>
      </c>
      <c r="H331" s="1" t="s">
        <v>1092</v>
      </c>
      <c r="I331" s="1" t="s">
        <v>1093</v>
      </c>
      <c r="J331" s="1" t="s">
        <v>189</v>
      </c>
      <c r="K331" s="1">
        <v>2023</v>
      </c>
      <c r="L331" s="1">
        <v>3</v>
      </c>
      <c r="M331" s="1" t="s">
        <v>813</v>
      </c>
      <c r="N331" s="1" t="s">
        <v>814</v>
      </c>
      <c r="O331" s="1" t="s">
        <v>29</v>
      </c>
      <c r="P331" s="1" t="s">
        <v>1094</v>
      </c>
      <c r="Q331" s="1" t="s">
        <v>1095</v>
      </c>
    </row>
    <row r="332" spans="1:17" ht="15.75" customHeight="1" x14ac:dyDescent="0.25">
      <c r="A332" s="1" t="s">
        <v>1096</v>
      </c>
      <c r="B332" s="1" t="s">
        <v>18</v>
      </c>
      <c r="C332" s="1" t="s">
        <v>19</v>
      </c>
      <c r="D332" s="1" t="s">
        <v>123</v>
      </c>
      <c r="E332" s="1" t="s">
        <v>274</v>
      </c>
      <c r="F332" s="1" t="s">
        <v>900</v>
      </c>
      <c r="G332" s="1" t="s">
        <v>275</v>
      </c>
      <c r="H332" s="1" t="s">
        <v>1097</v>
      </c>
      <c r="I332" s="1" t="s">
        <v>1098</v>
      </c>
      <c r="J332" s="1" t="s">
        <v>903</v>
      </c>
      <c r="K332" s="1">
        <v>2023</v>
      </c>
      <c r="L332" s="1">
        <v>2</v>
      </c>
      <c r="M332" s="1" t="s">
        <v>279</v>
      </c>
      <c r="N332" s="1" t="s">
        <v>28</v>
      </c>
      <c r="O332" s="1" t="s">
        <v>904</v>
      </c>
      <c r="P332" s="1" t="s">
        <v>280</v>
      </c>
      <c r="Q332" s="1" t="s">
        <v>1099</v>
      </c>
    </row>
    <row r="333" spans="1:17" ht="15.75" customHeight="1" x14ac:dyDescent="0.25">
      <c r="A333" s="1" t="s">
        <v>1100</v>
      </c>
      <c r="B333" s="1" t="s">
        <v>732</v>
      </c>
      <c r="C333" s="1" t="s">
        <v>850</v>
      </c>
      <c r="D333" s="1" t="s">
        <v>123</v>
      </c>
      <c r="E333" s="1" t="s">
        <v>274</v>
      </c>
      <c r="F333" s="1" t="s">
        <v>125</v>
      </c>
      <c r="G333" s="1" t="s">
        <v>275</v>
      </c>
      <c r="H333" s="1" t="s">
        <v>1101</v>
      </c>
      <c r="I333" s="1" t="s">
        <v>1102</v>
      </c>
      <c r="J333" s="1" t="s">
        <v>278</v>
      </c>
      <c r="K333" s="1">
        <v>2023</v>
      </c>
      <c r="L333" s="1">
        <v>3</v>
      </c>
      <c r="M333" s="1" t="s">
        <v>279</v>
      </c>
      <c r="N333" s="1" t="s">
        <v>854</v>
      </c>
      <c r="O333" s="1" t="s">
        <v>131</v>
      </c>
      <c r="P333" s="1" t="s">
        <v>280</v>
      </c>
      <c r="Q333" s="1" t="s">
        <v>1103</v>
      </c>
    </row>
    <row r="334" spans="1:17" ht="15.75" customHeight="1" x14ac:dyDescent="0.25">
      <c r="A334" s="1" t="s">
        <v>1104</v>
      </c>
      <c r="B334" s="1" t="s">
        <v>18</v>
      </c>
      <c r="C334" s="1" t="s">
        <v>19</v>
      </c>
      <c r="D334" s="1" t="s">
        <v>20</v>
      </c>
      <c r="E334" s="1" t="s">
        <v>21</v>
      </c>
      <c r="F334" s="1" t="s">
        <v>22</v>
      </c>
      <c r="G334" s="1" t="s">
        <v>152</v>
      </c>
      <c r="H334" s="1" t="s">
        <v>193</v>
      </c>
      <c r="I334" s="1" t="s">
        <v>194</v>
      </c>
      <c r="J334" s="1" t="s">
        <v>64</v>
      </c>
      <c r="K334" s="1">
        <v>2023</v>
      </c>
      <c r="L334" s="1">
        <v>1</v>
      </c>
      <c r="M334" s="1" t="s">
        <v>27</v>
      </c>
      <c r="N334" s="1" t="s">
        <v>28</v>
      </c>
      <c r="O334" s="1" t="s">
        <v>29</v>
      </c>
      <c r="P334" s="1" t="s">
        <v>155</v>
      </c>
      <c r="Q334" s="1" t="s">
        <v>1105</v>
      </c>
    </row>
    <row r="335" spans="1:17" ht="15.75" customHeight="1" x14ac:dyDescent="0.25">
      <c r="A335" s="1" t="s">
        <v>1106</v>
      </c>
      <c r="B335" s="1" t="s">
        <v>18</v>
      </c>
      <c r="C335" s="1" t="s">
        <v>19</v>
      </c>
      <c r="D335" s="1" t="s">
        <v>20</v>
      </c>
      <c r="E335" s="1" t="s">
        <v>21</v>
      </c>
      <c r="F335" s="1" t="s">
        <v>22</v>
      </c>
      <c r="G335" s="1" t="s">
        <v>1107</v>
      </c>
      <c r="H335" s="1" t="s">
        <v>1108</v>
      </c>
      <c r="I335" s="1" t="s">
        <v>1109</v>
      </c>
      <c r="J335" s="1" t="s">
        <v>26</v>
      </c>
      <c r="K335" s="1">
        <v>2023</v>
      </c>
      <c r="L335" s="1">
        <v>1</v>
      </c>
      <c r="M335" s="1" t="s">
        <v>27</v>
      </c>
      <c r="N335" s="1" t="s">
        <v>28</v>
      </c>
      <c r="O335" s="1" t="s">
        <v>29</v>
      </c>
      <c r="P335" s="1" t="s">
        <v>1110</v>
      </c>
      <c r="Q335" s="1" t="s">
        <v>1111</v>
      </c>
    </row>
    <row r="336" spans="1:17" ht="15.75" customHeight="1" x14ac:dyDescent="0.25">
      <c r="A336" s="1" t="s">
        <v>85</v>
      </c>
      <c r="B336" s="1" t="s">
        <v>18</v>
      </c>
      <c r="C336" s="1" t="s">
        <v>19</v>
      </c>
      <c r="D336" s="1" t="s">
        <v>20</v>
      </c>
      <c r="E336" s="1" t="s">
        <v>21</v>
      </c>
      <c r="F336" s="1" t="s">
        <v>22</v>
      </c>
      <c r="G336" s="1" t="s">
        <v>61</v>
      </c>
      <c r="H336" s="1" t="s">
        <v>513</v>
      </c>
      <c r="I336" s="1" t="s">
        <v>514</v>
      </c>
      <c r="J336" s="1" t="s">
        <v>26</v>
      </c>
      <c r="K336" s="1">
        <v>2023</v>
      </c>
      <c r="L336" s="1">
        <v>1</v>
      </c>
      <c r="M336" s="1" t="s">
        <v>27</v>
      </c>
      <c r="N336" s="1" t="s">
        <v>28</v>
      </c>
      <c r="O336" s="1" t="s">
        <v>29</v>
      </c>
      <c r="P336" s="1" t="s">
        <v>65</v>
      </c>
      <c r="Q336" s="1" t="s">
        <v>1112</v>
      </c>
    </row>
    <row r="337" spans="1:17" ht="15.75" customHeight="1" x14ac:dyDescent="0.25">
      <c r="A337" s="1" t="s">
        <v>572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22</v>
      </c>
      <c r="G337" s="1" t="s">
        <v>282</v>
      </c>
      <c r="H337" s="1" t="s">
        <v>283</v>
      </c>
      <c r="I337" s="1" t="s">
        <v>284</v>
      </c>
      <c r="J337" s="1" t="s">
        <v>26</v>
      </c>
      <c r="K337" s="1">
        <v>2023</v>
      </c>
      <c r="L337" s="1">
        <v>1</v>
      </c>
      <c r="M337" s="1" t="s">
        <v>27</v>
      </c>
      <c r="N337" s="1" t="s">
        <v>28</v>
      </c>
      <c r="O337" s="1" t="s">
        <v>29</v>
      </c>
      <c r="P337" s="1" t="s">
        <v>285</v>
      </c>
      <c r="Q337" s="1" t="s">
        <v>1113</v>
      </c>
    </row>
    <row r="338" spans="1:17" ht="15.75" customHeight="1" x14ac:dyDescent="0.25">
      <c r="A338" s="1" t="s">
        <v>1114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 t="s">
        <v>314</v>
      </c>
      <c r="H338" s="1" t="s">
        <v>1115</v>
      </c>
      <c r="I338" s="1" t="s">
        <v>1116</v>
      </c>
      <c r="J338" s="1" t="s">
        <v>26</v>
      </c>
      <c r="K338" s="1">
        <v>2023</v>
      </c>
      <c r="L338" s="1">
        <v>1</v>
      </c>
      <c r="M338" s="1" t="s">
        <v>27</v>
      </c>
      <c r="N338" s="1" t="s">
        <v>28</v>
      </c>
      <c r="O338" s="1" t="s">
        <v>29</v>
      </c>
      <c r="P338" s="1" t="s">
        <v>317</v>
      </c>
      <c r="Q338" s="1" t="s">
        <v>1117</v>
      </c>
    </row>
    <row r="339" spans="1:17" ht="15.75" customHeight="1" x14ac:dyDescent="0.25">
      <c r="A339" s="1" t="s">
        <v>109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22</v>
      </c>
      <c r="G339" s="1" t="s">
        <v>110</v>
      </c>
      <c r="H339" s="2" t="s">
        <v>111</v>
      </c>
      <c r="I339" s="2" t="s">
        <v>112</v>
      </c>
      <c r="J339" s="1" t="s">
        <v>26</v>
      </c>
      <c r="K339" s="1">
        <v>2023</v>
      </c>
      <c r="L339" s="1">
        <v>1</v>
      </c>
      <c r="M339" s="1" t="s">
        <v>27</v>
      </c>
      <c r="N339" s="1" t="s">
        <v>28</v>
      </c>
      <c r="O339" s="1" t="s">
        <v>29</v>
      </c>
      <c r="P339" s="1" t="s">
        <v>113</v>
      </c>
      <c r="Q339" s="2" t="s">
        <v>1118</v>
      </c>
    </row>
    <row r="340" spans="1:17" ht="15.75" customHeight="1" x14ac:dyDescent="0.25">
      <c r="A340" s="1" t="s">
        <v>291</v>
      </c>
      <c r="B340" s="1" t="s">
        <v>18</v>
      </c>
      <c r="C340" s="1" t="s">
        <v>19</v>
      </c>
      <c r="D340" s="1" t="s">
        <v>20</v>
      </c>
      <c r="E340" s="1" t="s">
        <v>21</v>
      </c>
      <c r="F340" s="1" t="s">
        <v>22</v>
      </c>
      <c r="G340" s="1" t="s">
        <v>167</v>
      </c>
      <c r="H340" s="1" t="s">
        <v>688</v>
      </c>
      <c r="I340" s="1" t="s">
        <v>689</v>
      </c>
      <c r="J340" s="1" t="s">
        <v>26</v>
      </c>
      <c r="K340" s="1">
        <v>2023</v>
      </c>
      <c r="L340" s="1">
        <v>1</v>
      </c>
      <c r="M340" s="1" t="s">
        <v>27</v>
      </c>
      <c r="N340" s="1" t="s">
        <v>28</v>
      </c>
      <c r="O340" s="1" t="s">
        <v>29</v>
      </c>
      <c r="P340" s="1" t="s">
        <v>170</v>
      </c>
      <c r="Q340" s="1" t="s">
        <v>1119</v>
      </c>
    </row>
    <row r="341" spans="1:17" ht="15.75" customHeight="1" x14ac:dyDescent="0.25">
      <c r="A341" s="1" t="s">
        <v>652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22</v>
      </c>
      <c r="G341" s="1" t="s">
        <v>653</v>
      </c>
      <c r="H341" s="1" t="s">
        <v>654</v>
      </c>
      <c r="I341" s="1" t="s">
        <v>655</v>
      </c>
      <c r="J341" s="1" t="s">
        <v>26</v>
      </c>
      <c r="K341" s="1">
        <v>2023</v>
      </c>
      <c r="L341" s="1">
        <v>1</v>
      </c>
      <c r="M341" s="1" t="s">
        <v>27</v>
      </c>
      <c r="N341" s="1" t="s">
        <v>28</v>
      </c>
      <c r="O341" s="1" t="s">
        <v>29</v>
      </c>
      <c r="P341" s="1" t="s">
        <v>656</v>
      </c>
      <c r="Q341" s="1" t="s">
        <v>1120</v>
      </c>
    </row>
    <row r="342" spans="1:17" ht="15.75" customHeight="1" x14ac:dyDescent="0.25">
      <c r="A342" s="1" t="s">
        <v>411</v>
      </c>
      <c r="B342" s="1" t="s">
        <v>18</v>
      </c>
      <c r="C342" s="1" t="s">
        <v>19</v>
      </c>
      <c r="D342" s="1" t="s">
        <v>20</v>
      </c>
      <c r="E342" s="1" t="s">
        <v>86</v>
      </c>
      <c r="F342" s="1" t="s">
        <v>22</v>
      </c>
      <c r="G342" s="1" t="s">
        <v>223</v>
      </c>
      <c r="H342" s="1" t="s">
        <v>423</v>
      </c>
      <c r="I342" s="1" t="s">
        <v>424</v>
      </c>
      <c r="J342" s="1" t="s">
        <v>26</v>
      </c>
      <c r="K342" s="1">
        <v>2023</v>
      </c>
      <c r="L342" s="1">
        <v>2</v>
      </c>
      <c r="M342" s="1" t="s">
        <v>89</v>
      </c>
      <c r="N342" s="1" t="s">
        <v>28</v>
      </c>
      <c r="O342" s="1" t="s">
        <v>29</v>
      </c>
      <c r="P342" s="1" t="s">
        <v>226</v>
      </c>
      <c r="Q342" s="1" t="s">
        <v>1121</v>
      </c>
    </row>
    <row r="343" spans="1:17" ht="15.75" customHeight="1" x14ac:dyDescent="0.25">
      <c r="A343" s="1" t="s">
        <v>228</v>
      </c>
      <c r="B343" s="1" t="s">
        <v>18</v>
      </c>
      <c r="C343" s="1" t="s">
        <v>19</v>
      </c>
      <c r="D343" s="1" t="s">
        <v>20</v>
      </c>
      <c r="E343" s="1" t="s">
        <v>86</v>
      </c>
      <c r="F343" s="1" t="s">
        <v>22</v>
      </c>
      <c r="G343" s="1" t="s">
        <v>223</v>
      </c>
      <c r="H343" s="1" t="s">
        <v>258</v>
      </c>
      <c r="I343" s="1" t="s">
        <v>259</v>
      </c>
      <c r="J343" s="1" t="s">
        <v>26</v>
      </c>
      <c r="K343" s="1">
        <v>2023</v>
      </c>
      <c r="L343" s="1">
        <v>2</v>
      </c>
      <c r="M343" s="1" t="s">
        <v>89</v>
      </c>
      <c r="N343" s="1" t="s">
        <v>28</v>
      </c>
      <c r="O343" s="1" t="s">
        <v>29</v>
      </c>
      <c r="P343" s="1" t="s">
        <v>226</v>
      </c>
      <c r="Q343" s="1" t="s">
        <v>1122</v>
      </c>
    </row>
    <row r="344" spans="1:17" ht="15.75" customHeight="1" x14ac:dyDescent="0.25">
      <c r="A344" s="1" t="s">
        <v>17</v>
      </c>
      <c r="B344" s="1" t="s">
        <v>18</v>
      </c>
      <c r="C344" s="1" t="s">
        <v>19</v>
      </c>
      <c r="D344" s="1" t="s">
        <v>20</v>
      </c>
      <c r="E344" s="1" t="s">
        <v>21</v>
      </c>
      <c r="F344" s="1" t="s">
        <v>22</v>
      </c>
      <c r="G344" s="1" t="s">
        <v>23</v>
      </c>
      <c r="H344" s="1" t="s">
        <v>24</v>
      </c>
      <c r="I344" s="1" t="s">
        <v>25</v>
      </c>
      <c r="J344" s="1" t="s">
        <v>26</v>
      </c>
      <c r="K344" s="1">
        <v>2023</v>
      </c>
      <c r="L344" s="1">
        <v>2</v>
      </c>
      <c r="M344" s="1" t="s">
        <v>27</v>
      </c>
      <c r="N344" s="1" t="s">
        <v>28</v>
      </c>
      <c r="O344" s="1" t="s">
        <v>29</v>
      </c>
      <c r="P344" s="1" t="s">
        <v>30</v>
      </c>
      <c r="Q344" s="1" t="s">
        <v>1123</v>
      </c>
    </row>
    <row r="345" spans="1:17" ht="15.75" customHeight="1" x14ac:dyDescent="0.25">
      <c r="A345" s="1" t="s">
        <v>681</v>
      </c>
      <c r="B345" s="1" t="s">
        <v>18</v>
      </c>
      <c r="C345" s="1" t="s">
        <v>19</v>
      </c>
      <c r="D345" s="1" t="s">
        <v>20</v>
      </c>
      <c r="E345" s="1" t="s">
        <v>21</v>
      </c>
      <c r="F345" s="1" t="s">
        <v>22</v>
      </c>
      <c r="G345" s="1" t="s">
        <v>682</v>
      </c>
      <c r="H345" s="1" t="s">
        <v>683</v>
      </c>
      <c r="I345" s="1" t="s">
        <v>684</v>
      </c>
      <c r="J345" s="1" t="s">
        <v>26</v>
      </c>
      <c r="K345" s="1">
        <v>2023</v>
      </c>
      <c r="L345" s="1">
        <v>2</v>
      </c>
      <c r="M345" s="1" t="s">
        <v>27</v>
      </c>
      <c r="N345" s="1" t="s">
        <v>28</v>
      </c>
      <c r="O345" s="1" t="s">
        <v>29</v>
      </c>
      <c r="P345" s="1" t="s">
        <v>685</v>
      </c>
      <c r="Q345" s="1" t="s">
        <v>1124</v>
      </c>
    </row>
    <row r="346" spans="1:17" ht="15.75" customHeight="1" x14ac:dyDescent="0.25">
      <c r="A346" s="1" t="s">
        <v>48</v>
      </c>
      <c r="B346" s="1" t="s">
        <v>18</v>
      </c>
      <c r="C346" s="1" t="s">
        <v>19</v>
      </c>
      <c r="D346" s="1" t="s">
        <v>20</v>
      </c>
      <c r="E346" s="1" t="s">
        <v>21</v>
      </c>
      <c r="F346" s="1" t="s">
        <v>22</v>
      </c>
      <c r="G346" s="1" t="s">
        <v>49</v>
      </c>
      <c r="H346" s="1" t="s">
        <v>50</v>
      </c>
      <c r="I346" s="1" t="s">
        <v>51</v>
      </c>
      <c r="J346" s="1" t="s">
        <v>26</v>
      </c>
      <c r="K346" s="1">
        <v>2023</v>
      </c>
      <c r="L346" s="1">
        <v>2</v>
      </c>
      <c r="M346" s="1" t="s">
        <v>27</v>
      </c>
      <c r="N346" s="1" t="s">
        <v>28</v>
      </c>
      <c r="O346" s="1" t="s">
        <v>29</v>
      </c>
      <c r="P346" s="1" t="s">
        <v>52</v>
      </c>
      <c r="Q346" s="1" t="s">
        <v>1125</v>
      </c>
    </row>
    <row r="347" spans="1:17" ht="15.75" customHeight="1" x14ac:dyDescent="0.25">
      <c r="A347" s="1" t="s">
        <v>291</v>
      </c>
      <c r="B347" s="1" t="s">
        <v>18</v>
      </c>
      <c r="C347" s="1" t="s">
        <v>19</v>
      </c>
      <c r="D347" s="1" t="s">
        <v>20</v>
      </c>
      <c r="E347" s="1" t="s">
        <v>21</v>
      </c>
      <c r="F347" s="1" t="s">
        <v>22</v>
      </c>
      <c r="G347" s="1" t="s">
        <v>167</v>
      </c>
      <c r="H347" s="1" t="s">
        <v>688</v>
      </c>
      <c r="I347" s="1" t="s">
        <v>689</v>
      </c>
      <c r="J347" s="1" t="s">
        <v>26</v>
      </c>
      <c r="K347" s="1">
        <v>2023</v>
      </c>
      <c r="L347" s="1">
        <v>2</v>
      </c>
      <c r="M347" s="1" t="s">
        <v>27</v>
      </c>
      <c r="N347" s="1" t="s">
        <v>28</v>
      </c>
      <c r="O347" s="1" t="s">
        <v>29</v>
      </c>
      <c r="P347" s="1" t="s">
        <v>170</v>
      </c>
      <c r="Q347" s="1" t="s">
        <v>1126</v>
      </c>
    </row>
    <row r="348" spans="1:17" ht="15.75" customHeight="1" x14ac:dyDescent="0.25">
      <c r="A348" s="1" t="s">
        <v>323</v>
      </c>
      <c r="B348" s="1" t="s">
        <v>18</v>
      </c>
      <c r="C348" s="1" t="s">
        <v>19</v>
      </c>
      <c r="D348" s="1" t="s">
        <v>20</v>
      </c>
      <c r="E348" s="1" t="s">
        <v>86</v>
      </c>
      <c r="F348" s="1" t="s">
        <v>22</v>
      </c>
      <c r="G348" s="1" t="s">
        <v>324</v>
      </c>
      <c r="H348" s="1" t="s">
        <v>325</v>
      </c>
      <c r="I348" s="1" t="s">
        <v>326</v>
      </c>
      <c r="J348" s="1" t="s">
        <v>26</v>
      </c>
      <c r="K348" s="1">
        <v>2023</v>
      </c>
      <c r="L348" s="1">
        <v>3</v>
      </c>
      <c r="M348" s="1" t="s">
        <v>89</v>
      </c>
      <c r="N348" s="1" t="s">
        <v>28</v>
      </c>
      <c r="O348" s="1" t="s">
        <v>29</v>
      </c>
      <c r="P348" s="1" t="s">
        <v>327</v>
      </c>
      <c r="Q348" s="1" t="s">
        <v>1127</v>
      </c>
    </row>
    <row r="349" spans="1:17" ht="15.75" customHeight="1" x14ac:dyDescent="0.25">
      <c r="A349" s="1" t="s">
        <v>621</v>
      </c>
      <c r="B349" s="1" t="s">
        <v>18</v>
      </c>
      <c r="C349" s="1" t="s">
        <v>19</v>
      </c>
      <c r="D349" s="1" t="s">
        <v>20</v>
      </c>
      <c r="E349" s="1" t="s">
        <v>86</v>
      </c>
      <c r="F349" s="1" t="s">
        <v>22</v>
      </c>
      <c r="G349" s="1" t="s">
        <v>180</v>
      </c>
      <c r="H349" s="1" t="s">
        <v>622</v>
      </c>
      <c r="I349" s="1" t="s">
        <v>623</v>
      </c>
      <c r="J349" s="1" t="s">
        <v>26</v>
      </c>
      <c r="K349" s="1">
        <v>2023</v>
      </c>
      <c r="L349" s="1">
        <v>3</v>
      </c>
      <c r="M349" s="1" t="s">
        <v>89</v>
      </c>
      <c r="N349" s="1" t="s">
        <v>28</v>
      </c>
      <c r="O349" s="1" t="s">
        <v>29</v>
      </c>
      <c r="P349" s="1" t="s">
        <v>183</v>
      </c>
      <c r="Q349" s="1" t="s">
        <v>1128</v>
      </c>
    </row>
    <row r="350" spans="1:17" ht="15.75" customHeight="1" x14ac:dyDescent="0.25">
      <c r="A350" s="1" t="s">
        <v>1129</v>
      </c>
      <c r="B350" s="1" t="s">
        <v>18</v>
      </c>
      <c r="C350" s="1" t="s">
        <v>19</v>
      </c>
      <c r="D350" s="1" t="s">
        <v>20</v>
      </c>
      <c r="E350" s="1" t="s">
        <v>86</v>
      </c>
      <c r="F350" s="1" t="s">
        <v>22</v>
      </c>
      <c r="G350" s="1" t="s">
        <v>186</v>
      </c>
      <c r="H350" s="1" t="s">
        <v>1130</v>
      </c>
      <c r="I350" s="1" t="s">
        <v>1131</v>
      </c>
      <c r="J350" s="1" t="s">
        <v>189</v>
      </c>
      <c r="K350" s="1">
        <v>2023</v>
      </c>
      <c r="L350" s="1">
        <v>3</v>
      </c>
      <c r="M350" s="1" t="s">
        <v>89</v>
      </c>
      <c r="N350" s="1" t="s">
        <v>28</v>
      </c>
      <c r="O350" s="1" t="s">
        <v>29</v>
      </c>
      <c r="P350" s="1" t="s">
        <v>190</v>
      </c>
      <c r="Q350" s="1" t="s">
        <v>1132</v>
      </c>
    </row>
    <row r="351" spans="1:17" ht="15.75" customHeight="1" x14ac:dyDescent="0.25">
      <c r="A351" s="1" t="s">
        <v>1133</v>
      </c>
      <c r="B351" s="1" t="s">
        <v>18</v>
      </c>
      <c r="C351" s="1" t="s">
        <v>19</v>
      </c>
      <c r="D351" s="1" t="s">
        <v>20</v>
      </c>
      <c r="E351" s="1" t="s">
        <v>86</v>
      </c>
      <c r="F351" s="1" t="s">
        <v>22</v>
      </c>
      <c r="G351" s="1" t="s">
        <v>186</v>
      </c>
      <c r="H351" s="1" t="s">
        <v>1134</v>
      </c>
      <c r="I351" s="1" t="s">
        <v>1135</v>
      </c>
      <c r="J351" s="1" t="s">
        <v>189</v>
      </c>
      <c r="K351" s="1">
        <v>2023</v>
      </c>
      <c r="L351" s="1">
        <v>3</v>
      </c>
      <c r="M351" s="1" t="s">
        <v>89</v>
      </c>
      <c r="N351" s="1" t="s">
        <v>28</v>
      </c>
      <c r="O351" s="1" t="s">
        <v>29</v>
      </c>
      <c r="P351" s="1" t="s">
        <v>190</v>
      </c>
      <c r="Q351" s="1" t="s">
        <v>1136</v>
      </c>
    </row>
    <row r="352" spans="1:17" ht="15.75" customHeight="1" x14ac:dyDescent="0.25">
      <c r="A352" s="1" t="s">
        <v>625</v>
      </c>
      <c r="B352" s="1" t="s">
        <v>18</v>
      </c>
      <c r="C352" s="1" t="s">
        <v>19</v>
      </c>
      <c r="D352" s="1" t="s">
        <v>20</v>
      </c>
      <c r="E352" s="1" t="s">
        <v>21</v>
      </c>
      <c r="F352" s="1" t="s">
        <v>22</v>
      </c>
      <c r="G352" s="1" t="s">
        <v>223</v>
      </c>
      <c r="H352" s="1" t="s">
        <v>626</v>
      </c>
      <c r="I352" s="1" t="s">
        <v>627</v>
      </c>
      <c r="J352" s="1" t="s">
        <v>26</v>
      </c>
      <c r="K352" s="1">
        <v>2023</v>
      </c>
      <c r="L352" s="1">
        <v>3</v>
      </c>
      <c r="M352" s="1" t="s">
        <v>27</v>
      </c>
      <c r="N352" s="1" t="s">
        <v>28</v>
      </c>
      <c r="O352" s="1" t="s">
        <v>29</v>
      </c>
      <c r="P352" s="1" t="s">
        <v>226</v>
      </c>
      <c r="Q352" s="1" t="s">
        <v>1137</v>
      </c>
    </row>
    <row r="353" spans="1:17" ht="15.75" customHeight="1" x14ac:dyDescent="0.25">
      <c r="A353" s="1" t="s">
        <v>32</v>
      </c>
      <c r="B353" s="1" t="s">
        <v>18</v>
      </c>
      <c r="C353" s="1" t="s">
        <v>19</v>
      </c>
      <c r="D353" s="1" t="s">
        <v>20</v>
      </c>
      <c r="E353" s="1" t="s">
        <v>21</v>
      </c>
      <c r="F353" s="1" t="s">
        <v>22</v>
      </c>
      <c r="G353" s="1" t="s">
        <v>75</v>
      </c>
      <c r="H353" s="1" t="s">
        <v>568</v>
      </c>
      <c r="I353" s="1" t="s">
        <v>569</v>
      </c>
      <c r="J353" s="1" t="s">
        <v>26</v>
      </c>
      <c r="K353" s="1">
        <v>2023</v>
      </c>
      <c r="L353" s="1">
        <v>3</v>
      </c>
      <c r="M353" s="1" t="s">
        <v>27</v>
      </c>
      <c r="N353" s="1" t="s">
        <v>28</v>
      </c>
      <c r="O353" s="1" t="s">
        <v>29</v>
      </c>
      <c r="P353" s="1" t="s">
        <v>78</v>
      </c>
      <c r="Q353" s="1" t="s">
        <v>1138</v>
      </c>
    </row>
    <row r="354" spans="1:17" ht="15.75" customHeight="1" x14ac:dyDescent="0.25">
      <c r="A354" s="1" t="s">
        <v>212</v>
      </c>
      <c r="B354" s="1" t="s">
        <v>18</v>
      </c>
      <c r="C354" s="1" t="s">
        <v>19</v>
      </c>
      <c r="D354" s="1" t="s">
        <v>20</v>
      </c>
      <c r="E354" s="1" t="s">
        <v>21</v>
      </c>
      <c r="F354" s="1" t="s">
        <v>22</v>
      </c>
      <c r="G354" s="1" t="s">
        <v>39</v>
      </c>
      <c r="H354" s="1" t="s">
        <v>213</v>
      </c>
      <c r="I354" s="1" t="s">
        <v>214</v>
      </c>
      <c r="J354" s="1" t="s">
        <v>26</v>
      </c>
      <c r="K354" s="1">
        <v>2023</v>
      </c>
      <c r="L354" s="1">
        <v>3</v>
      </c>
      <c r="M354" s="1" t="s">
        <v>27</v>
      </c>
      <c r="N354" s="1" t="s">
        <v>28</v>
      </c>
      <c r="O354" s="1" t="s">
        <v>29</v>
      </c>
      <c r="P354" s="1" t="s">
        <v>42</v>
      </c>
      <c r="Q354" s="1" t="s">
        <v>1139</v>
      </c>
    </row>
    <row r="355" spans="1:17" ht="15.75" customHeight="1" x14ac:dyDescent="0.25">
      <c r="A355" s="1" t="s">
        <v>115</v>
      </c>
      <c r="B355" s="1" t="s">
        <v>18</v>
      </c>
      <c r="C355" s="1" t="s">
        <v>19</v>
      </c>
      <c r="D355" s="1" t="s">
        <v>20</v>
      </c>
      <c r="E355" s="1" t="s">
        <v>21</v>
      </c>
      <c r="F355" s="1" t="s">
        <v>22</v>
      </c>
      <c r="G355" s="1" t="s">
        <v>314</v>
      </c>
      <c r="H355" s="1" t="s">
        <v>1140</v>
      </c>
      <c r="I355" s="1" t="s">
        <v>1141</v>
      </c>
      <c r="J355" s="1" t="s">
        <v>26</v>
      </c>
      <c r="K355" s="1">
        <v>2023</v>
      </c>
      <c r="L355" s="1">
        <v>3</v>
      </c>
      <c r="M355" s="1" t="s">
        <v>27</v>
      </c>
      <c r="N355" s="1" t="s">
        <v>28</v>
      </c>
      <c r="O355" s="1" t="s">
        <v>29</v>
      </c>
      <c r="P355" s="1" t="s">
        <v>317</v>
      </c>
      <c r="Q355" s="1" t="s">
        <v>1142</v>
      </c>
    </row>
    <row r="356" spans="1:17" ht="15.75" customHeight="1" x14ac:dyDescent="0.25">
      <c r="A356" s="1" t="s">
        <v>595</v>
      </c>
      <c r="B356" s="1" t="s">
        <v>18</v>
      </c>
      <c r="C356" s="1" t="s">
        <v>19</v>
      </c>
      <c r="D356" s="1" t="s">
        <v>20</v>
      </c>
      <c r="E356" s="1" t="s">
        <v>21</v>
      </c>
      <c r="F356" s="1" t="s">
        <v>22</v>
      </c>
      <c r="G356" s="1" t="s">
        <v>596</v>
      </c>
      <c r="H356" s="1" t="s">
        <v>597</v>
      </c>
      <c r="I356" s="1" t="s">
        <v>598</v>
      </c>
      <c r="J356" s="1" t="s">
        <v>26</v>
      </c>
      <c r="K356" s="1">
        <v>2023</v>
      </c>
      <c r="L356" s="1">
        <v>3</v>
      </c>
      <c r="M356" s="1" t="s">
        <v>27</v>
      </c>
      <c r="N356" s="1" t="s">
        <v>28</v>
      </c>
      <c r="O356" s="1" t="s">
        <v>29</v>
      </c>
      <c r="P356" s="1" t="s">
        <v>599</v>
      </c>
      <c r="Q356" s="1" t="s">
        <v>1143</v>
      </c>
    </row>
    <row r="357" spans="1:17" ht="15.75" customHeight="1" x14ac:dyDescent="0.25">
      <c r="A357" s="1" t="s">
        <v>291</v>
      </c>
      <c r="B357" s="1" t="s">
        <v>18</v>
      </c>
      <c r="C357" s="1" t="s">
        <v>19</v>
      </c>
      <c r="D357" s="1" t="s">
        <v>20</v>
      </c>
      <c r="E357" s="1" t="s">
        <v>21</v>
      </c>
      <c r="F357" s="1" t="s">
        <v>22</v>
      </c>
      <c r="G357" s="1" t="s">
        <v>167</v>
      </c>
      <c r="H357" s="1" t="s">
        <v>292</v>
      </c>
      <c r="I357" s="1" t="s">
        <v>293</v>
      </c>
      <c r="J357" s="1" t="s">
        <v>26</v>
      </c>
      <c r="K357" s="1">
        <v>2023</v>
      </c>
      <c r="L357" s="1">
        <v>3</v>
      </c>
      <c r="M357" s="1" t="s">
        <v>27</v>
      </c>
      <c r="N357" s="1" t="s">
        <v>28</v>
      </c>
      <c r="O357" s="1" t="s">
        <v>29</v>
      </c>
      <c r="P357" s="1" t="s">
        <v>170</v>
      </c>
      <c r="Q357" s="1" t="s">
        <v>1144</v>
      </c>
    </row>
    <row r="358" spans="1:17" ht="15.75" customHeight="1" x14ac:dyDescent="0.25">
      <c r="A358" s="1" t="s">
        <v>85</v>
      </c>
      <c r="B358" s="1" t="s">
        <v>18</v>
      </c>
      <c r="C358" s="1" t="s">
        <v>19</v>
      </c>
      <c r="D358" s="1" t="s">
        <v>20</v>
      </c>
      <c r="E358" s="1" t="s">
        <v>21</v>
      </c>
      <c r="F358" s="1" t="s">
        <v>22</v>
      </c>
      <c r="G358" s="1" t="s">
        <v>61</v>
      </c>
      <c r="H358" s="1" t="s">
        <v>62</v>
      </c>
      <c r="I358" s="1" t="s">
        <v>63</v>
      </c>
      <c r="J358" s="1" t="s">
        <v>26</v>
      </c>
      <c r="K358" s="1">
        <v>2023</v>
      </c>
      <c r="L358" s="1">
        <v>4</v>
      </c>
      <c r="M358" s="1" t="s">
        <v>27</v>
      </c>
      <c r="N358" s="1" t="s">
        <v>28</v>
      </c>
      <c r="O358" s="1" t="s">
        <v>29</v>
      </c>
      <c r="P358" s="1" t="s">
        <v>65</v>
      </c>
      <c r="Q358" s="1" t="s">
        <v>1145</v>
      </c>
    </row>
    <row r="359" spans="1:17" ht="15.75" customHeight="1" x14ac:dyDescent="0.25">
      <c r="A359" s="1" t="s">
        <v>109</v>
      </c>
      <c r="B359" s="1" t="s">
        <v>18</v>
      </c>
      <c r="C359" s="1" t="s">
        <v>19</v>
      </c>
      <c r="D359" s="1" t="s">
        <v>20</v>
      </c>
      <c r="E359" s="1" t="s">
        <v>21</v>
      </c>
      <c r="F359" s="1" t="s">
        <v>22</v>
      </c>
      <c r="G359" s="1" t="s">
        <v>110</v>
      </c>
      <c r="H359" s="2" t="s">
        <v>111</v>
      </c>
      <c r="I359" s="2" t="s">
        <v>112</v>
      </c>
      <c r="J359" s="1" t="s">
        <v>26</v>
      </c>
      <c r="K359" s="1">
        <v>2023</v>
      </c>
      <c r="L359" s="1">
        <v>4</v>
      </c>
      <c r="M359" s="1" t="s">
        <v>27</v>
      </c>
      <c r="N359" s="1" t="s">
        <v>28</v>
      </c>
      <c r="O359" s="1" t="s">
        <v>29</v>
      </c>
      <c r="P359" s="1" t="s">
        <v>113</v>
      </c>
      <c r="Q359" s="2" t="s">
        <v>1146</v>
      </c>
    </row>
    <row r="360" spans="1:17" ht="15.75" customHeight="1" x14ac:dyDescent="0.25">
      <c r="A360" s="1" t="s">
        <v>561</v>
      </c>
      <c r="B360" s="1" t="s">
        <v>18</v>
      </c>
      <c r="C360" s="1" t="s">
        <v>19</v>
      </c>
      <c r="D360" s="1" t="s">
        <v>20</v>
      </c>
      <c r="E360" s="1" t="s">
        <v>21</v>
      </c>
      <c r="F360" s="1" t="s">
        <v>22</v>
      </c>
      <c r="G360" s="1" t="s">
        <v>382</v>
      </c>
      <c r="H360" s="1" t="s">
        <v>562</v>
      </c>
      <c r="I360" s="1" t="s">
        <v>563</v>
      </c>
      <c r="J360" s="1" t="s">
        <v>26</v>
      </c>
      <c r="K360" s="1">
        <v>2023</v>
      </c>
      <c r="L360" s="1">
        <v>4</v>
      </c>
      <c r="M360" s="1" t="s">
        <v>27</v>
      </c>
      <c r="N360" s="1" t="s">
        <v>28</v>
      </c>
      <c r="O360" s="1" t="s">
        <v>29</v>
      </c>
      <c r="P360" s="1" t="s">
        <v>385</v>
      </c>
      <c r="Q360" s="1" t="s">
        <v>1147</v>
      </c>
    </row>
    <row r="361" spans="1:17" ht="15.75" customHeight="1" x14ac:dyDescent="0.25">
      <c r="A361" s="1" t="s">
        <v>652</v>
      </c>
      <c r="B361" s="1" t="s">
        <v>18</v>
      </c>
      <c r="C361" s="1" t="s">
        <v>19</v>
      </c>
      <c r="D361" s="1" t="s">
        <v>20</v>
      </c>
      <c r="E361" s="1" t="s">
        <v>21</v>
      </c>
      <c r="F361" s="1" t="s">
        <v>22</v>
      </c>
      <c r="G361" s="1" t="s">
        <v>653</v>
      </c>
      <c r="H361" s="1" t="s">
        <v>654</v>
      </c>
      <c r="I361" s="1" t="s">
        <v>655</v>
      </c>
      <c r="J361" s="1" t="s">
        <v>26</v>
      </c>
      <c r="K361" s="1">
        <v>2023</v>
      </c>
      <c r="L361" s="1">
        <v>4</v>
      </c>
      <c r="M361" s="1" t="s">
        <v>27</v>
      </c>
      <c r="N361" s="1" t="s">
        <v>28</v>
      </c>
      <c r="O361" s="1" t="s">
        <v>29</v>
      </c>
      <c r="P361" s="1" t="s">
        <v>656</v>
      </c>
      <c r="Q361" s="1" t="s">
        <v>1148</v>
      </c>
    </row>
    <row r="362" spans="1:17" ht="15.75" customHeight="1" x14ac:dyDescent="0.25">
      <c r="A362" s="1" t="s">
        <v>1149</v>
      </c>
      <c r="B362" s="1" t="s">
        <v>18</v>
      </c>
      <c r="C362" s="1" t="s">
        <v>19</v>
      </c>
      <c r="D362" s="1" t="s">
        <v>20</v>
      </c>
      <c r="E362" s="1" t="s">
        <v>86</v>
      </c>
      <c r="F362" s="1" t="s">
        <v>22</v>
      </c>
      <c r="G362" s="1" t="s">
        <v>186</v>
      </c>
      <c r="H362" s="1" t="s">
        <v>1134</v>
      </c>
      <c r="I362" s="1" t="s">
        <v>1135</v>
      </c>
      <c r="J362" s="1" t="s">
        <v>189</v>
      </c>
      <c r="K362" s="1">
        <v>2023</v>
      </c>
      <c r="L362" s="1">
        <v>5</v>
      </c>
      <c r="M362" s="1" t="s">
        <v>89</v>
      </c>
      <c r="N362" s="1" t="s">
        <v>28</v>
      </c>
      <c r="O362" s="1" t="s">
        <v>29</v>
      </c>
      <c r="P362" s="1" t="s">
        <v>190</v>
      </c>
      <c r="Q362" s="1" t="s">
        <v>1150</v>
      </c>
    </row>
    <row r="363" spans="1:17" ht="15.75" customHeight="1" x14ac:dyDescent="0.25">
      <c r="A363" s="1" t="s">
        <v>1151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22</v>
      </c>
      <c r="G363" s="1" t="s">
        <v>110</v>
      </c>
      <c r="H363" s="1" t="s">
        <v>1152</v>
      </c>
      <c r="I363" s="1" t="s">
        <v>1153</v>
      </c>
      <c r="J363" s="1" t="s">
        <v>64</v>
      </c>
      <c r="K363" s="1">
        <v>2023</v>
      </c>
      <c r="L363" s="1">
        <v>5</v>
      </c>
      <c r="M363" s="1" t="s">
        <v>27</v>
      </c>
      <c r="N363" s="1" t="s">
        <v>28</v>
      </c>
      <c r="O363" s="1" t="s">
        <v>29</v>
      </c>
      <c r="P363" s="1" t="s">
        <v>113</v>
      </c>
      <c r="Q363" s="1" t="s">
        <v>1154</v>
      </c>
    </row>
    <row r="364" spans="1:17" ht="15.75" customHeight="1" x14ac:dyDescent="0.25">
      <c r="A364" s="1" t="s">
        <v>32</v>
      </c>
      <c r="B364" s="1" t="s">
        <v>18</v>
      </c>
      <c r="C364" s="1" t="s">
        <v>19</v>
      </c>
      <c r="D364" s="1" t="s">
        <v>20</v>
      </c>
      <c r="E364" s="1" t="s">
        <v>21</v>
      </c>
      <c r="F364" s="1" t="s">
        <v>22</v>
      </c>
      <c r="G364" s="1" t="s">
        <v>33</v>
      </c>
      <c r="H364" s="1" t="s">
        <v>34</v>
      </c>
      <c r="I364" s="1" t="s">
        <v>35</v>
      </c>
      <c r="J364" s="1" t="s">
        <v>26</v>
      </c>
      <c r="K364" s="1">
        <v>2023</v>
      </c>
      <c r="L364" s="1">
        <v>5</v>
      </c>
      <c r="M364" s="1" t="s">
        <v>27</v>
      </c>
      <c r="N364" s="1" t="s">
        <v>28</v>
      </c>
      <c r="O364" s="1" t="s">
        <v>29</v>
      </c>
      <c r="P364" s="1" t="s">
        <v>36</v>
      </c>
      <c r="Q364" s="1" t="s">
        <v>1155</v>
      </c>
    </row>
    <row r="365" spans="1:17" ht="15.75" customHeight="1" x14ac:dyDescent="0.25">
      <c r="A365" s="1" t="s">
        <v>470</v>
      </c>
      <c r="B365" s="1" t="s">
        <v>18</v>
      </c>
      <c r="C365" s="1" t="s">
        <v>19</v>
      </c>
      <c r="D365" s="1" t="s">
        <v>20</v>
      </c>
      <c r="E365" s="1" t="s">
        <v>21</v>
      </c>
      <c r="F365" s="1" t="s">
        <v>22</v>
      </c>
      <c r="G365" s="1" t="s">
        <v>471</v>
      </c>
      <c r="H365" s="1" t="s">
        <v>472</v>
      </c>
      <c r="I365" s="1" t="s">
        <v>473</v>
      </c>
      <c r="J365" s="1" t="s">
        <v>26</v>
      </c>
      <c r="K365" s="1">
        <v>2023</v>
      </c>
      <c r="L365" s="1">
        <v>5</v>
      </c>
      <c r="M365" s="1" t="s">
        <v>27</v>
      </c>
      <c r="N365" s="1" t="s">
        <v>28</v>
      </c>
      <c r="O365" s="1" t="s">
        <v>29</v>
      </c>
      <c r="P365" s="1" t="s">
        <v>474</v>
      </c>
      <c r="Q365" s="1" t="s">
        <v>1156</v>
      </c>
    </row>
    <row r="366" spans="1:17" ht="15.75" customHeight="1" x14ac:dyDescent="0.25">
      <c r="A366" s="1" t="s">
        <v>398</v>
      </c>
      <c r="B366" s="1" t="s">
        <v>18</v>
      </c>
      <c r="C366" s="1" t="s">
        <v>19</v>
      </c>
      <c r="D366" s="1" t="s">
        <v>20</v>
      </c>
      <c r="E366" s="1" t="s">
        <v>21</v>
      </c>
      <c r="F366" s="1" t="s">
        <v>22</v>
      </c>
      <c r="G366" s="1" t="s">
        <v>334</v>
      </c>
      <c r="H366" s="1" t="s">
        <v>335</v>
      </c>
      <c r="I366" s="1" t="s">
        <v>336</v>
      </c>
      <c r="J366" s="1" t="s">
        <v>26</v>
      </c>
      <c r="K366" s="1">
        <v>2023</v>
      </c>
      <c r="L366" s="1">
        <v>5</v>
      </c>
      <c r="M366" s="1" t="s">
        <v>27</v>
      </c>
      <c r="N366" s="1" t="s">
        <v>28</v>
      </c>
      <c r="O366" s="1" t="s">
        <v>29</v>
      </c>
      <c r="P366" s="1" t="s">
        <v>337</v>
      </c>
      <c r="Q366" s="1" t="s">
        <v>1157</v>
      </c>
    </row>
    <row r="367" spans="1:17" ht="15.75" customHeight="1" x14ac:dyDescent="0.25">
      <c r="A367" s="1" t="s">
        <v>349</v>
      </c>
      <c r="B367" s="1" t="s">
        <v>18</v>
      </c>
      <c r="C367" s="1" t="s">
        <v>19</v>
      </c>
      <c r="D367" s="1" t="s">
        <v>20</v>
      </c>
      <c r="E367" s="1" t="s">
        <v>21</v>
      </c>
      <c r="F367" s="1" t="s">
        <v>22</v>
      </c>
      <c r="G367" s="1" t="s">
        <v>152</v>
      </c>
      <c r="H367" s="1" t="s">
        <v>436</v>
      </c>
      <c r="I367" s="1" t="s">
        <v>437</v>
      </c>
      <c r="J367" s="1" t="s">
        <v>26</v>
      </c>
      <c r="K367" s="1">
        <v>2023</v>
      </c>
      <c r="L367" s="1">
        <v>5</v>
      </c>
      <c r="M367" s="1" t="s">
        <v>27</v>
      </c>
      <c r="N367" s="1" t="s">
        <v>28</v>
      </c>
      <c r="O367" s="1" t="s">
        <v>29</v>
      </c>
      <c r="P367" s="1" t="s">
        <v>155</v>
      </c>
      <c r="Q367" s="1" t="s">
        <v>1158</v>
      </c>
    </row>
    <row r="368" spans="1:17" ht="15.75" customHeight="1" x14ac:dyDescent="0.25">
      <c r="A368" s="1" t="s">
        <v>115</v>
      </c>
      <c r="B368" s="1" t="s">
        <v>18</v>
      </c>
      <c r="C368" s="1" t="s">
        <v>19</v>
      </c>
      <c r="D368" s="1" t="s">
        <v>20</v>
      </c>
      <c r="E368" s="1" t="s">
        <v>21</v>
      </c>
      <c r="F368" s="1" t="s">
        <v>22</v>
      </c>
      <c r="G368" s="1" t="s">
        <v>116</v>
      </c>
      <c r="H368" s="1" t="s">
        <v>117</v>
      </c>
      <c r="I368" s="1" t="s">
        <v>118</v>
      </c>
      <c r="J368" s="1" t="s">
        <v>26</v>
      </c>
      <c r="K368" s="1">
        <v>2023</v>
      </c>
      <c r="L368" s="1">
        <v>5</v>
      </c>
      <c r="M368" s="1" t="s">
        <v>27</v>
      </c>
      <c r="N368" s="1" t="s">
        <v>28</v>
      </c>
      <c r="O368" s="1" t="s">
        <v>29</v>
      </c>
      <c r="P368" s="1" t="s">
        <v>119</v>
      </c>
      <c r="Q368" s="1" t="s">
        <v>1159</v>
      </c>
    </row>
    <row r="369" spans="1:17" ht="15.75" customHeight="1" x14ac:dyDescent="0.25">
      <c r="A369" s="1" t="s">
        <v>1160</v>
      </c>
      <c r="B369" s="1" t="s">
        <v>18</v>
      </c>
      <c r="C369" s="1" t="s">
        <v>19</v>
      </c>
      <c r="D369" s="1" t="s">
        <v>20</v>
      </c>
      <c r="E369" s="1" t="s">
        <v>86</v>
      </c>
      <c r="F369" s="1" t="s">
        <v>22</v>
      </c>
      <c r="G369" s="1" t="s">
        <v>186</v>
      </c>
      <c r="H369" s="1" t="s">
        <v>1134</v>
      </c>
      <c r="I369" s="1" t="s">
        <v>1135</v>
      </c>
      <c r="J369" s="1" t="s">
        <v>189</v>
      </c>
      <c r="K369" s="1">
        <v>2023</v>
      </c>
      <c r="L369" s="1">
        <v>6</v>
      </c>
      <c r="M369" s="1" t="s">
        <v>89</v>
      </c>
      <c r="N369" s="1" t="s">
        <v>28</v>
      </c>
      <c r="O369" s="1" t="s">
        <v>29</v>
      </c>
      <c r="P369" s="1" t="s">
        <v>190</v>
      </c>
      <c r="Q369" s="1" t="s">
        <v>1161</v>
      </c>
    </row>
    <row r="370" spans="1:17" ht="15.75" customHeight="1" x14ac:dyDescent="0.25">
      <c r="A370" s="1" t="s">
        <v>1162</v>
      </c>
      <c r="B370" s="1" t="s">
        <v>18</v>
      </c>
      <c r="C370" s="1" t="s">
        <v>19</v>
      </c>
      <c r="D370" s="1" t="s">
        <v>20</v>
      </c>
      <c r="E370" s="1" t="s">
        <v>21</v>
      </c>
      <c r="F370" s="1" t="s">
        <v>22</v>
      </c>
      <c r="G370" s="1" t="s">
        <v>33</v>
      </c>
      <c r="H370" s="1" t="s">
        <v>34</v>
      </c>
      <c r="I370" s="1" t="s">
        <v>35</v>
      </c>
      <c r="J370" s="1" t="s">
        <v>64</v>
      </c>
      <c r="K370" s="1">
        <v>2023</v>
      </c>
      <c r="L370" s="1">
        <v>6</v>
      </c>
      <c r="M370" s="1" t="s">
        <v>27</v>
      </c>
      <c r="N370" s="1" t="s">
        <v>28</v>
      </c>
      <c r="O370" s="1" t="s">
        <v>29</v>
      </c>
      <c r="P370" s="1" t="s">
        <v>36</v>
      </c>
      <c r="Q370" s="1" t="s">
        <v>1163</v>
      </c>
    </row>
    <row r="371" spans="1:17" ht="15.75" customHeight="1" x14ac:dyDescent="0.25">
      <c r="A371" s="1" t="s">
        <v>1164</v>
      </c>
      <c r="B371" s="1" t="s">
        <v>18</v>
      </c>
      <c r="C371" s="1" t="s">
        <v>19</v>
      </c>
      <c r="D371" s="1" t="s">
        <v>20</v>
      </c>
      <c r="E371" s="1" t="s">
        <v>21</v>
      </c>
      <c r="F371" s="1" t="s">
        <v>22</v>
      </c>
      <c r="G371" s="1" t="s">
        <v>61</v>
      </c>
      <c r="H371" s="1" t="s">
        <v>330</v>
      </c>
      <c r="I371" s="1" t="s">
        <v>331</v>
      </c>
      <c r="J371" s="1" t="s">
        <v>64</v>
      </c>
      <c r="K371" s="1">
        <v>2023</v>
      </c>
      <c r="L371" s="1">
        <v>6</v>
      </c>
      <c r="M371" s="1" t="s">
        <v>27</v>
      </c>
      <c r="N371" s="1" t="s">
        <v>28</v>
      </c>
      <c r="O371" s="1" t="s">
        <v>29</v>
      </c>
      <c r="P371" s="1" t="s">
        <v>65</v>
      </c>
      <c r="Q371" s="1" t="s">
        <v>1165</v>
      </c>
    </row>
    <row r="372" spans="1:17" ht="15.75" customHeight="1" x14ac:dyDescent="0.25">
      <c r="A372" s="1" t="s">
        <v>32</v>
      </c>
      <c r="B372" s="1" t="s">
        <v>18</v>
      </c>
      <c r="C372" s="1" t="s">
        <v>19</v>
      </c>
      <c r="D372" s="1" t="s">
        <v>20</v>
      </c>
      <c r="E372" s="1" t="s">
        <v>21</v>
      </c>
      <c r="F372" s="1" t="s">
        <v>22</v>
      </c>
      <c r="G372" s="1" t="s">
        <v>75</v>
      </c>
      <c r="H372" s="1" t="s">
        <v>568</v>
      </c>
      <c r="I372" s="1" t="s">
        <v>569</v>
      </c>
      <c r="J372" s="1" t="s">
        <v>26</v>
      </c>
      <c r="K372" s="1">
        <v>2023</v>
      </c>
      <c r="L372" s="1">
        <v>6</v>
      </c>
      <c r="M372" s="1" t="s">
        <v>27</v>
      </c>
      <c r="N372" s="1" t="s">
        <v>28</v>
      </c>
      <c r="O372" s="1" t="s">
        <v>29</v>
      </c>
      <c r="P372" s="1" t="s">
        <v>78</v>
      </c>
      <c r="Q372" s="1" t="s">
        <v>1166</v>
      </c>
    </row>
    <row r="373" spans="1:17" ht="15.75" customHeight="1" x14ac:dyDescent="0.25">
      <c r="A373" s="1" t="s">
        <v>38</v>
      </c>
      <c r="B373" s="1" t="s">
        <v>18</v>
      </c>
      <c r="C373" s="1" t="s">
        <v>19</v>
      </c>
      <c r="D373" s="1" t="s">
        <v>20</v>
      </c>
      <c r="E373" s="1" t="s">
        <v>21</v>
      </c>
      <c r="F373" s="1" t="s">
        <v>22</v>
      </c>
      <c r="G373" s="1" t="s">
        <v>39</v>
      </c>
      <c r="H373" s="1" t="s">
        <v>493</v>
      </c>
      <c r="I373" s="1" t="s">
        <v>494</v>
      </c>
      <c r="J373" s="1" t="s">
        <v>26</v>
      </c>
      <c r="K373" s="1">
        <v>2023</v>
      </c>
      <c r="L373" s="1">
        <v>6</v>
      </c>
      <c r="M373" s="1" t="s">
        <v>27</v>
      </c>
      <c r="N373" s="1" t="s">
        <v>28</v>
      </c>
      <c r="O373" s="1" t="s">
        <v>29</v>
      </c>
      <c r="P373" s="1" t="s">
        <v>42</v>
      </c>
      <c r="Q373" s="1" t="s">
        <v>1167</v>
      </c>
    </row>
    <row r="374" spans="1:17" ht="15.75" customHeight="1" x14ac:dyDescent="0.25">
      <c r="A374" s="1" t="s">
        <v>349</v>
      </c>
      <c r="B374" s="1" t="s">
        <v>18</v>
      </c>
      <c r="C374" s="1" t="s">
        <v>19</v>
      </c>
      <c r="D374" s="1" t="s">
        <v>20</v>
      </c>
      <c r="E374" s="1" t="s">
        <v>21</v>
      </c>
      <c r="F374" s="1" t="s">
        <v>22</v>
      </c>
      <c r="G374" s="1" t="s">
        <v>152</v>
      </c>
      <c r="H374" s="1" t="s">
        <v>350</v>
      </c>
      <c r="I374" s="1" t="s">
        <v>351</v>
      </c>
      <c r="J374" s="1" t="s">
        <v>26</v>
      </c>
      <c r="K374" s="1">
        <v>2023</v>
      </c>
      <c r="L374" s="1">
        <v>6</v>
      </c>
      <c r="M374" s="1" t="s">
        <v>27</v>
      </c>
      <c r="N374" s="1" t="s">
        <v>28</v>
      </c>
      <c r="O374" s="1" t="s">
        <v>29</v>
      </c>
      <c r="P374" s="1" t="s">
        <v>155</v>
      </c>
      <c r="Q374" s="1" t="s">
        <v>1168</v>
      </c>
    </row>
    <row r="375" spans="1:17" ht="15.75" customHeight="1" x14ac:dyDescent="0.25">
      <c r="A375" s="1" t="s">
        <v>357</v>
      </c>
      <c r="B375" s="1" t="s">
        <v>18</v>
      </c>
      <c r="C375" s="1" t="s">
        <v>19</v>
      </c>
      <c r="D375" s="1" t="s">
        <v>20</v>
      </c>
      <c r="E375" s="1" t="s">
        <v>21</v>
      </c>
      <c r="F375" s="1" t="s">
        <v>22</v>
      </c>
      <c r="G375" s="1" t="s">
        <v>152</v>
      </c>
      <c r="H375" s="1" t="s">
        <v>358</v>
      </c>
      <c r="I375" s="1" t="s">
        <v>359</v>
      </c>
      <c r="J375" s="1" t="s">
        <v>26</v>
      </c>
      <c r="K375" s="1">
        <v>2023</v>
      </c>
      <c r="L375" s="1">
        <v>6</v>
      </c>
      <c r="M375" s="1" t="s">
        <v>27</v>
      </c>
      <c r="N375" s="1" t="s">
        <v>28</v>
      </c>
      <c r="O375" s="1" t="s">
        <v>29</v>
      </c>
      <c r="P375" s="1" t="s">
        <v>155</v>
      </c>
      <c r="Q375" s="1" t="s">
        <v>1169</v>
      </c>
    </row>
    <row r="376" spans="1:17" ht="15.75" customHeight="1" x14ac:dyDescent="0.25">
      <c r="A376" s="1" t="s">
        <v>411</v>
      </c>
      <c r="B376" s="1" t="s">
        <v>18</v>
      </c>
      <c r="C376" s="1" t="s">
        <v>19</v>
      </c>
      <c r="D376" s="1" t="s">
        <v>20</v>
      </c>
      <c r="E376" s="1" t="s">
        <v>86</v>
      </c>
      <c r="F376" s="1" t="s">
        <v>22</v>
      </c>
      <c r="G376" s="1" t="s">
        <v>223</v>
      </c>
      <c r="H376" s="1" t="s">
        <v>1170</v>
      </c>
      <c r="I376" s="1" t="s">
        <v>1171</v>
      </c>
      <c r="J376" s="1" t="s">
        <v>26</v>
      </c>
      <c r="K376" s="1">
        <v>2023</v>
      </c>
      <c r="L376" s="1">
        <v>7</v>
      </c>
      <c r="M376" s="1" t="s">
        <v>89</v>
      </c>
      <c r="N376" s="1" t="s">
        <v>28</v>
      </c>
      <c r="O376" s="1" t="s">
        <v>29</v>
      </c>
      <c r="P376" s="1" t="s">
        <v>226</v>
      </c>
      <c r="Q376" s="1" t="s">
        <v>1172</v>
      </c>
    </row>
    <row r="377" spans="1:17" ht="15.75" customHeight="1" x14ac:dyDescent="0.25">
      <c r="A377" s="1" t="s">
        <v>621</v>
      </c>
      <c r="B377" s="1" t="s">
        <v>18</v>
      </c>
      <c r="C377" s="1" t="s">
        <v>19</v>
      </c>
      <c r="D377" s="1" t="s">
        <v>20</v>
      </c>
      <c r="E377" s="1" t="s">
        <v>86</v>
      </c>
      <c r="F377" s="1" t="s">
        <v>22</v>
      </c>
      <c r="G377" s="1" t="s">
        <v>180</v>
      </c>
      <c r="H377" s="1" t="s">
        <v>622</v>
      </c>
      <c r="I377" s="1" t="s">
        <v>623</v>
      </c>
      <c r="J377" s="1" t="s">
        <v>26</v>
      </c>
      <c r="K377" s="1">
        <v>2023</v>
      </c>
      <c r="L377" s="1">
        <v>7</v>
      </c>
      <c r="M377" s="1" t="s">
        <v>89</v>
      </c>
      <c r="N377" s="1" t="s">
        <v>28</v>
      </c>
      <c r="O377" s="1" t="s">
        <v>29</v>
      </c>
      <c r="P377" s="1" t="s">
        <v>183</v>
      </c>
      <c r="Q377" s="1" t="s">
        <v>1173</v>
      </c>
    </row>
    <row r="378" spans="1:17" ht="15.75" customHeight="1" x14ac:dyDescent="0.25">
      <c r="A378" s="1" t="s">
        <v>1174</v>
      </c>
      <c r="B378" s="1" t="s">
        <v>18</v>
      </c>
      <c r="C378" s="1" t="s">
        <v>19</v>
      </c>
      <c r="D378" s="1" t="s">
        <v>20</v>
      </c>
      <c r="E378" s="1" t="s">
        <v>86</v>
      </c>
      <c r="F378" s="1" t="s">
        <v>22</v>
      </c>
      <c r="G378" s="1" t="s">
        <v>186</v>
      </c>
      <c r="H378" s="1" t="s">
        <v>534</v>
      </c>
      <c r="I378" s="1" t="s">
        <v>535</v>
      </c>
      <c r="J378" s="1" t="s">
        <v>189</v>
      </c>
      <c r="K378" s="1">
        <v>2023</v>
      </c>
      <c r="L378" s="1">
        <v>7</v>
      </c>
      <c r="M378" s="1" t="s">
        <v>89</v>
      </c>
      <c r="N378" s="1" t="s">
        <v>28</v>
      </c>
      <c r="O378" s="1" t="s">
        <v>29</v>
      </c>
      <c r="P378" s="1" t="s">
        <v>190</v>
      </c>
      <c r="Q378" s="1" t="s">
        <v>1175</v>
      </c>
    </row>
    <row r="379" spans="1:17" ht="15.75" customHeight="1" x14ac:dyDescent="0.25">
      <c r="A379" s="1" t="s">
        <v>144</v>
      </c>
      <c r="B379" s="1" t="s">
        <v>18</v>
      </c>
      <c r="C379" s="1" t="s">
        <v>19</v>
      </c>
      <c r="D379" s="1" t="s">
        <v>20</v>
      </c>
      <c r="E379" s="1" t="s">
        <v>21</v>
      </c>
      <c r="F379" s="1" t="s">
        <v>22</v>
      </c>
      <c r="G379" s="1" t="s">
        <v>145</v>
      </c>
      <c r="H379" s="1" t="s">
        <v>146</v>
      </c>
      <c r="I379" s="1" t="s">
        <v>147</v>
      </c>
      <c r="J379" s="1" t="s">
        <v>26</v>
      </c>
      <c r="K379" s="1">
        <v>2023</v>
      </c>
      <c r="L379" s="1">
        <v>7</v>
      </c>
      <c r="M379" s="1" t="s">
        <v>27</v>
      </c>
      <c r="N379" s="1" t="s">
        <v>28</v>
      </c>
      <c r="O379" s="1" t="s">
        <v>29</v>
      </c>
      <c r="P379" s="1" t="s">
        <v>148</v>
      </c>
      <c r="Q379" s="1" t="s">
        <v>1176</v>
      </c>
    </row>
    <row r="380" spans="1:17" ht="15.75" customHeight="1" x14ac:dyDescent="0.25">
      <c r="A380" s="1" t="s">
        <v>212</v>
      </c>
      <c r="B380" s="1" t="s">
        <v>18</v>
      </c>
      <c r="C380" s="1" t="s">
        <v>19</v>
      </c>
      <c r="D380" s="1" t="s">
        <v>20</v>
      </c>
      <c r="E380" s="1" t="s">
        <v>21</v>
      </c>
      <c r="F380" s="1" t="s">
        <v>22</v>
      </c>
      <c r="G380" s="1" t="s">
        <v>39</v>
      </c>
      <c r="H380" s="1" t="s">
        <v>633</v>
      </c>
      <c r="I380" s="1" t="s">
        <v>634</v>
      </c>
      <c r="J380" s="1" t="s">
        <v>26</v>
      </c>
      <c r="K380" s="1">
        <v>2023</v>
      </c>
      <c r="L380" s="1">
        <v>7</v>
      </c>
      <c r="M380" s="1" t="s">
        <v>27</v>
      </c>
      <c r="N380" s="1" t="s">
        <v>28</v>
      </c>
      <c r="O380" s="1" t="s">
        <v>29</v>
      </c>
      <c r="P380" s="1" t="s">
        <v>42</v>
      </c>
      <c r="Q380" s="1" t="s">
        <v>1177</v>
      </c>
    </row>
    <row r="381" spans="1:17" ht="15.75" customHeight="1" x14ac:dyDescent="0.25">
      <c r="A381" s="1" t="s">
        <v>496</v>
      </c>
      <c r="B381" s="1" t="s">
        <v>18</v>
      </c>
      <c r="C381" s="1" t="s">
        <v>19</v>
      </c>
      <c r="D381" s="1" t="s">
        <v>20</v>
      </c>
      <c r="E381" s="1" t="s">
        <v>21</v>
      </c>
      <c r="F381" s="1" t="s">
        <v>22</v>
      </c>
      <c r="G381" s="1" t="s">
        <v>104</v>
      </c>
      <c r="H381" s="1" t="s">
        <v>497</v>
      </c>
      <c r="I381" s="1" t="s">
        <v>498</v>
      </c>
      <c r="J381" s="1" t="s">
        <v>26</v>
      </c>
      <c r="K381" s="1">
        <v>2023</v>
      </c>
      <c r="L381" s="1">
        <v>7</v>
      </c>
      <c r="M381" s="1" t="s">
        <v>27</v>
      </c>
      <c r="N381" s="1" t="s">
        <v>28</v>
      </c>
      <c r="O381" s="1" t="s">
        <v>29</v>
      </c>
      <c r="P381" s="1" t="s">
        <v>107</v>
      </c>
      <c r="Q381" s="1" t="s">
        <v>1178</v>
      </c>
    </row>
    <row r="382" spans="1:17" ht="15.75" customHeight="1" x14ac:dyDescent="0.25">
      <c r="A382" s="1" t="s">
        <v>1179</v>
      </c>
      <c r="B382" s="1" t="s">
        <v>18</v>
      </c>
      <c r="C382" s="1" t="s">
        <v>19</v>
      </c>
      <c r="D382" s="1" t="s">
        <v>20</v>
      </c>
      <c r="E382" s="1" t="s">
        <v>21</v>
      </c>
      <c r="F382" s="1" t="s">
        <v>22</v>
      </c>
      <c r="G382" s="1" t="s">
        <v>39</v>
      </c>
      <c r="H382" s="1" t="s">
        <v>1180</v>
      </c>
      <c r="I382" s="1" t="s">
        <v>1181</v>
      </c>
      <c r="J382" s="1" t="s">
        <v>1182</v>
      </c>
      <c r="K382" s="1">
        <v>2023</v>
      </c>
      <c r="L382" s="1">
        <v>7</v>
      </c>
      <c r="M382" s="1" t="s">
        <v>27</v>
      </c>
      <c r="N382" s="1" t="s">
        <v>28</v>
      </c>
      <c r="O382" s="1" t="s">
        <v>29</v>
      </c>
      <c r="P382" s="1" t="s">
        <v>42</v>
      </c>
      <c r="Q382" s="1" t="s">
        <v>1183</v>
      </c>
    </row>
    <row r="383" spans="1:17" ht="15.75" customHeight="1" x14ac:dyDescent="0.25">
      <c r="A383" s="1" t="s">
        <v>97</v>
      </c>
      <c r="B383" s="1" t="s">
        <v>18</v>
      </c>
      <c r="C383" s="1" t="s">
        <v>19</v>
      </c>
      <c r="D383" s="1" t="s">
        <v>20</v>
      </c>
      <c r="E383" s="1" t="s">
        <v>86</v>
      </c>
      <c r="F383" s="1" t="s">
        <v>22</v>
      </c>
      <c r="G383" s="1" t="s">
        <v>98</v>
      </c>
      <c r="H383" s="1" t="s">
        <v>99</v>
      </c>
      <c r="I383" s="1" t="s">
        <v>100</v>
      </c>
      <c r="J383" s="1" t="s">
        <v>26</v>
      </c>
      <c r="K383" s="1">
        <v>2023</v>
      </c>
      <c r="L383" s="1">
        <v>8</v>
      </c>
      <c r="M383" s="1" t="s">
        <v>89</v>
      </c>
      <c r="N383" s="1" t="s">
        <v>28</v>
      </c>
      <c r="O383" s="1" t="s">
        <v>29</v>
      </c>
      <c r="P383" s="1" t="s">
        <v>101</v>
      </c>
      <c r="Q383" s="1" t="s">
        <v>1184</v>
      </c>
    </row>
    <row r="384" spans="1:17" ht="15.75" customHeight="1" x14ac:dyDescent="0.25">
      <c r="A384" s="1" t="s">
        <v>1185</v>
      </c>
      <c r="B384" s="1" t="s">
        <v>18</v>
      </c>
      <c r="C384" s="1" t="s">
        <v>19</v>
      </c>
      <c r="D384" s="1" t="s">
        <v>20</v>
      </c>
      <c r="E384" s="1" t="s">
        <v>21</v>
      </c>
      <c r="F384" s="1" t="s">
        <v>22</v>
      </c>
      <c r="G384" s="1" t="s">
        <v>152</v>
      </c>
      <c r="H384" s="1" t="s">
        <v>510</v>
      </c>
      <c r="I384" s="1" t="s">
        <v>511</v>
      </c>
      <c r="J384" s="1" t="s">
        <v>64</v>
      </c>
      <c r="K384" s="1">
        <v>2023</v>
      </c>
      <c r="L384" s="1">
        <v>8</v>
      </c>
      <c r="M384" s="1" t="s">
        <v>27</v>
      </c>
      <c r="N384" s="1" t="s">
        <v>28</v>
      </c>
      <c r="O384" s="1" t="s">
        <v>29</v>
      </c>
      <c r="P384" s="1" t="s">
        <v>155</v>
      </c>
      <c r="Q384" s="1" t="s">
        <v>1186</v>
      </c>
    </row>
    <row r="385" spans="1:17" ht="15.75" customHeight="1" x14ac:dyDescent="0.25">
      <c r="A385" s="1" t="s">
        <v>54</v>
      </c>
      <c r="B385" s="1" t="s">
        <v>18</v>
      </c>
      <c r="C385" s="1" t="s">
        <v>19</v>
      </c>
      <c r="D385" s="1" t="s">
        <v>20</v>
      </c>
      <c r="E385" s="1" t="s">
        <v>21</v>
      </c>
      <c r="F385" s="1" t="s">
        <v>22</v>
      </c>
      <c r="G385" s="1" t="s">
        <v>39</v>
      </c>
      <c r="H385" s="1" t="s">
        <v>287</v>
      </c>
      <c r="I385" s="1" t="s">
        <v>288</v>
      </c>
      <c r="J385" s="1" t="s">
        <v>26</v>
      </c>
      <c r="K385" s="1">
        <v>2023</v>
      </c>
      <c r="L385" s="1">
        <v>8</v>
      </c>
      <c r="M385" s="1" t="s">
        <v>27</v>
      </c>
      <c r="N385" s="1" t="s">
        <v>28</v>
      </c>
      <c r="O385" s="1" t="s">
        <v>29</v>
      </c>
      <c r="P385" s="1" t="s">
        <v>42</v>
      </c>
      <c r="Q385" s="1" t="s">
        <v>1187</v>
      </c>
    </row>
    <row r="386" spans="1:17" ht="15.75" customHeight="1" x14ac:dyDescent="0.25">
      <c r="A386" s="1" t="s">
        <v>54</v>
      </c>
      <c r="B386" s="1" t="s">
        <v>18</v>
      </c>
      <c r="C386" s="1" t="s">
        <v>19</v>
      </c>
      <c r="D386" s="1" t="s">
        <v>20</v>
      </c>
      <c r="E386" s="1" t="s">
        <v>21</v>
      </c>
      <c r="F386" s="1" t="s">
        <v>22</v>
      </c>
      <c r="G386" s="1" t="s">
        <v>39</v>
      </c>
      <c r="H386" s="1" t="s">
        <v>432</v>
      </c>
      <c r="I386" s="1" t="s">
        <v>433</v>
      </c>
      <c r="J386" s="1" t="s">
        <v>26</v>
      </c>
      <c r="K386" s="1">
        <v>2023</v>
      </c>
      <c r="L386" s="1">
        <v>8</v>
      </c>
      <c r="M386" s="1" t="s">
        <v>27</v>
      </c>
      <c r="N386" s="1" t="s">
        <v>28</v>
      </c>
      <c r="O386" s="1" t="s">
        <v>29</v>
      </c>
      <c r="P386" s="1" t="s">
        <v>42</v>
      </c>
      <c r="Q386" s="1" t="s">
        <v>1188</v>
      </c>
    </row>
    <row r="387" spans="1:17" ht="15.75" customHeight="1" x14ac:dyDescent="0.25">
      <c r="A387" s="1" t="s">
        <v>509</v>
      </c>
      <c r="B387" s="1" t="s">
        <v>18</v>
      </c>
      <c r="C387" s="1" t="s">
        <v>19</v>
      </c>
      <c r="D387" s="1" t="s">
        <v>20</v>
      </c>
      <c r="E387" s="1" t="s">
        <v>21</v>
      </c>
      <c r="F387" s="1" t="s">
        <v>22</v>
      </c>
      <c r="G387" s="1" t="s">
        <v>152</v>
      </c>
      <c r="H387" s="1" t="s">
        <v>524</v>
      </c>
      <c r="I387" s="1" t="s">
        <v>525</v>
      </c>
      <c r="J387" s="1" t="s">
        <v>26</v>
      </c>
      <c r="K387" s="1">
        <v>2023</v>
      </c>
      <c r="L387" s="1">
        <v>8</v>
      </c>
      <c r="M387" s="1" t="s">
        <v>27</v>
      </c>
      <c r="N387" s="1" t="s">
        <v>28</v>
      </c>
      <c r="O387" s="1" t="s">
        <v>29</v>
      </c>
      <c r="P387" s="1" t="s">
        <v>155</v>
      </c>
      <c r="Q387" s="1" t="s">
        <v>1189</v>
      </c>
    </row>
    <row r="388" spans="1:17" ht="15.75" customHeight="1" x14ac:dyDescent="0.25">
      <c r="A388" s="1" t="s">
        <v>509</v>
      </c>
      <c r="B388" s="1" t="s">
        <v>18</v>
      </c>
      <c r="C388" s="1" t="s">
        <v>19</v>
      </c>
      <c r="D388" s="1" t="s">
        <v>20</v>
      </c>
      <c r="E388" s="1" t="s">
        <v>21</v>
      </c>
      <c r="F388" s="1" t="s">
        <v>22</v>
      </c>
      <c r="G388" s="1" t="s">
        <v>152</v>
      </c>
      <c r="H388" s="1" t="s">
        <v>1190</v>
      </c>
      <c r="I388" s="1" t="s">
        <v>1191</v>
      </c>
      <c r="J388" s="1" t="s">
        <v>26</v>
      </c>
      <c r="K388" s="1">
        <v>2023</v>
      </c>
      <c r="L388" s="1">
        <v>8</v>
      </c>
      <c r="M388" s="1" t="s">
        <v>27</v>
      </c>
      <c r="N388" s="1" t="s">
        <v>28</v>
      </c>
      <c r="O388" s="1" t="s">
        <v>29</v>
      </c>
      <c r="P388" s="1" t="s">
        <v>155</v>
      </c>
      <c r="Q388" s="1" t="s">
        <v>1192</v>
      </c>
    </row>
    <row r="389" spans="1:17" ht="15.75" customHeight="1" x14ac:dyDescent="0.25">
      <c r="A389" s="1" t="s">
        <v>357</v>
      </c>
      <c r="B389" s="1" t="s">
        <v>18</v>
      </c>
      <c r="C389" s="1" t="s">
        <v>19</v>
      </c>
      <c r="D389" s="1" t="s">
        <v>20</v>
      </c>
      <c r="E389" s="1" t="s">
        <v>21</v>
      </c>
      <c r="F389" s="1" t="s">
        <v>22</v>
      </c>
      <c r="G389" s="1" t="s">
        <v>152</v>
      </c>
      <c r="H389" s="1" t="s">
        <v>358</v>
      </c>
      <c r="I389" s="1" t="s">
        <v>359</v>
      </c>
      <c r="J389" s="1" t="s">
        <v>26</v>
      </c>
      <c r="K389" s="1">
        <v>2023</v>
      </c>
      <c r="L389" s="1">
        <v>8</v>
      </c>
      <c r="M389" s="1" t="s">
        <v>27</v>
      </c>
      <c r="N389" s="1" t="s">
        <v>28</v>
      </c>
      <c r="O389" s="1" t="s">
        <v>29</v>
      </c>
      <c r="P389" s="1" t="s">
        <v>155</v>
      </c>
      <c r="Q389" s="1" t="s">
        <v>1193</v>
      </c>
    </row>
    <row r="390" spans="1:17" ht="15.75" customHeight="1" x14ac:dyDescent="0.25">
      <c r="A390" s="1" t="s">
        <v>222</v>
      </c>
      <c r="B390" s="1" t="s">
        <v>18</v>
      </c>
      <c r="C390" s="1" t="s">
        <v>19</v>
      </c>
      <c r="D390" s="1" t="s">
        <v>20</v>
      </c>
      <c r="E390" s="1" t="s">
        <v>86</v>
      </c>
      <c r="F390" s="1" t="s">
        <v>22</v>
      </c>
      <c r="G390" s="1" t="s">
        <v>223</v>
      </c>
      <c r="H390" s="1" t="s">
        <v>224</v>
      </c>
      <c r="I390" s="1" t="s">
        <v>225</v>
      </c>
      <c r="J390" s="1" t="s">
        <v>26</v>
      </c>
      <c r="K390" s="1">
        <v>2023</v>
      </c>
      <c r="L390" s="1">
        <v>9</v>
      </c>
      <c r="M390" s="1" t="s">
        <v>89</v>
      </c>
      <c r="N390" s="1" t="s">
        <v>28</v>
      </c>
      <c r="O390" s="1" t="s">
        <v>29</v>
      </c>
      <c r="P390" s="1" t="s">
        <v>226</v>
      </c>
      <c r="Q390" s="1" t="s">
        <v>1194</v>
      </c>
    </row>
    <row r="391" spans="1:17" ht="15.75" customHeight="1" x14ac:dyDescent="0.25">
      <c r="A391" s="1" t="s">
        <v>488</v>
      </c>
      <c r="B391" s="1" t="s">
        <v>18</v>
      </c>
      <c r="C391" s="1" t="s">
        <v>19</v>
      </c>
      <c r="D391" s="1" t="s">
        <v>20</v>
      </c>
      <c r="E391" s="1" t="s">
        <v>86</v>
      </c>
      <c r="F391" s="1" t="s">
        <v>22</v>
      </c>
      <c r="G391" s="1" t="s">
        <v>298</v>
      </c>
      <c r="H391" s="1" t="s">
        <v>489</v>
      </c>
      <c r="I391" s="1" t="s">
        <v>490</v>
      </c>
      <c r="J391" s="1" t="s">
        <v>26</v>
      </c>
      <c r="K391" s="1">
        <v>2023</v>
      </c>
      <c r="L391" s="1">
        <v>9</v>
      </c>
      <c r="M391" s="1" t="s">
        <v>89</v>
      </c>
      <c r="N391" s="1" t="s">
        <v>28</v>
      </c>
      <c r="O391" s="1" t="s">
        <v>29</v>
      </c>
      <c r="P391" s="1" t="s">
        <v>301</v>
      </c>
      <c r="Q391" s="1" t="s">
        <v>1195</v>
      </c>
    </row>
    <row r="392" spans="1:17" ht="15.75" customHeight="1" x14ac:dyDescent="0.25">
      <c r="A392" s="1" t="s">
        <v>85</v>
      </c>
      <c r="B392" s="1" t="s">
        <v>18</v>
      </c>
      <c r="C392" s="1" t="s">
        <v>19</v>
      </c>
      <c r="D392" s="1" t="s">
        <v>20</v>
      </c>
      <c r="E392" s="1" t="s">
        <v>21</v>
      </c>
      <c r="F392" s="1" t="s">
        <v>22</v>
      </c>
      <c r="G392" s="1" t="s">
        <v>61</v>
      </c>
      <c r="H392" s="1" t="s">
        <v>513</v>
      </c>
      <c r="I392" s="1" t="s">
        <v>514</v>
      </c>
      <c r="J392" s="1" t="s">
        <v>26</v>
      </c>
      <c r="K392" s="1">
        <v>2023</v>
      </c>
      <c r="L392" s="1">
        <v>9</v>
      </c>
      <c r="M392" s="1" t="s">
        <v>27</v>
      </c>
      <c r="N392" s="1" t="s">
        <v>28</v>
      </c>
      <c r="O392" s="1" t="s">
        <v>29</v>
      </c>
      <c r="P392" s="1" t="s">
        <v>65</v>
      </c>
      <c r="Q392" s="1" t="s">
        <v>1196</v>
      </c>
    </row>
    <row r="393" spans="1:17" ht="15.75" customHeight="1" x14ac:dyDescent="0.25">
      <c r="A393" s="1" t="s">
        <v>361</v>
      </c>
      <c r="B393" s="1" t="s">
        <v>18</v>
      </c>
      <c r="C393" s="1" t="s">
        <v>19</v>
      </c>
      <c r="D393" s="1" t="s">
        <v>20</v>
      </c>
      <c r="E393" s="1" t="s">
        <v>21</v>
      </c>
      <c r="F393" s="1" t="s">
        <v>22</v>
      </c>
      <c r="G393" s="1" t="s">
        <v>303</v>
      </c>
      <c r="H393" s="1" t="s">
        <v>304</v>
      </c>
      <c r="I393" s="1" t="s">
        <v>305</v>
      </c>
      <c r="J393" s="1" t="s">
        <v>26</v>
      </c>
      <c r="K393" s="1">
        <v>2023</v>
      </c>
      <c r="L393" s="1">
        <v>9</v>
      </c>
      <c r="M393" s="1" t="s">
        <v>27</v>
      </c>
      <c r="N393" s="1" t="s">
        <v>28</v>
      </c>
      <c r="O393" s="1" t="s">
        <v>29</v>
      </c>
      <c r="P393" s="1" t="s">
        <v>306</v>
      </c>
      <c r="Q393" s="1" t="s">
        <v>1197</v>
      </c>
    </row>
    <row r="394" spans="1:17" ht="15.75" customHeight="1" x14ac:dyDescent="0.25">
      <c r="A394" s="1" t="s">
        <v>1198</v>
      </c>
      <c r="B394" s="1" t="s">
        <v>18</v>
      </c>
      <c r="C394" s="1" t="s">
        <v>19</v>
      </c>
      <c r="D394" s="1" t="s">
        <v>20</v>
      </c>
      <c r="E394" s="1" t="s">
        <v>21</v>
      </c>
      <c r="F394" s="1" t="s">
        <v>22</v>
      </c>
      <c r="G394" s="1" t="s">
        <v>1199</v>
      </c>
      <c r="H394" s="1" t="s">
        <v>1200</v>
      </c>
      <c r="I394" s="1" t="s">
        <v>1201</v>
      </c>
      <c r="J394" s="1" t="s">
        <v>26</v>
      </c>
      <c r="K394" s="1">
        <v>2023</v>
      </c>
      <c r="L394" s="1">
        <v>9</v>
      </c>
      <c r="M394" s="1" t="s">
        <v>27</v>
      </c>
      <c r="N394" s="1" t="s">
        <v>28</v>
      </c>
      <c r="O394" s="1" t="s">
        <v>29</v>
      </c>
      <c r="P394" s="1" t="s">
        <v>1202</v>
      </c>
      <c r="Q394" s="1" t="s">
        <v>1203</v>
      </c>
    </row>
    <row r="395" spans="1:17" ht="15.75" customHeight="1" x14ac:dyDescent="0.25">
      <c r="A395" s="1" t="s">
        <v>212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22</v>
      </c>
      <c r="G395" s="1" t="s">
        <v>39</v>
      </c>
      <c r="H395" s="1" t="s">
        <v>213</v>
      </c>
      <c r="I395" s="1" t="s">
        <v>214</v>
      </c>
      <c r="J395" s="1" t="s">
        <v>26</v>
      </c>
      <c r="K395" s="1">
        <v>2023</v>
      </c>
      <c r="L395" s="1">
        <v>9</v>
      </c>
      <c r="M395" s="1" t="s">
        <v>27</v>
      </c>
      <c r="N395" s="1" t="s">
        <v>28</v>
      </c>
      <c r="O395" s="1" t="s">
        <v>29</v>
      </c>
      <c r="P395" s="1" t="s">
        <v>42</v>
      </c>
      <c r="Q395" s="1" t="s">
        <v>1204</v>
      </c>
    </row>
    <row r="396" spans="1:17" ht="15.75" customHeight="1" x14ac:dyDescent="0.25">
      <c r="A396" s="1" t="s">
        <v>411</v>
      </c>
      <c r="B396" s="1" t="s">
        <v>18</v>
      </c>
      <c r="C396" s="1" t="s">
        <v>19</v>
      </c>
      <c r="D396" s="1" t="s">
        <v>20</v>
      </c>
      <c r="E396" s="1" t="s">
        <v>86</v>
      </c>
      <c r="F396" s="1" t="s">
        <v>22</v>
      </c>
      <c r="G396" s="1" t="s">
        <v>223</v>
      </c>
      <c r="H396" s="1" t="s">
        <v>1170</v>
      </c>
      <c r="I396" s="1" t="s">
        <v>1171</v>
      </c>
      <c r="J396" s="1" t="s">
        <v>26</v>
      </c>
      <c r="K396" s="1">
        <v>2023</v>
      </c>
      <c r="L396" s="1">
        <v>10</v>
      </c>
      <c r="M396" s="1" t="s">
        <v>89</v>
      </c>
      <c r="N396" s="1" t="s">
        <v>28</v>
      </c>
      <c r="O396" s="1" t="s">
        <v>29</v>
      </c>
      <c r="P396" s="1" t="s">
        <v>226</v>
      </c>
      <c r="Q396" s="1" t="s">
        <v>1205</v>
      </c>
    </row>
    <row r="397" spans="1:17" ht="15.75" customHeight="1" x14ac:dyDescent="0.25">
      <c r="A397" s="1" t="s">
        <v>1206</v>
      </c>
      <c r="B397" s="1" t="s">
        <v>18</v>
      </c>
      <c r="C397" s="1" t="s">
        <v>19</v>
      </c>
      <c r="D397" s="1" t="s">
        <v>20</v>
      </c>
      <c r="E397" s="1" t="s">
        <v>21</v>
      </c>
      <c r="F397" s="1" t="s">
        <v>22</v>
      </c>
      <c r="G397" s="1" t="s">
        <v>23</v>
      </c>
      <c r="H397" s="1" t="s">
        <v>24</v>
      </c>
      <c r="I397" s="1" t="s">
        <v>25</v>
      </c>
      <c r="J397" s="1" t="s">
        <v>26</v>
      </c>
      <c r="K397" s="1">
        <v>2023</v>
      </c>
      <c r="L397" s="1">
        <v>10</v>
      </c>
      <c r="M397" s="1" t="s">
        <v>27</v>
      </c>
      <c r="N397" s="1" t="s">
        <v>28</v>
      </c>
      <c r="O397" s="1" t="s">
        <v>29</v>
      </c>
      <c r="P397" s="1" t="s">
        <v>30</v>
      </c>
      <c r="Q397" s="1" t="s">
        <v>1207</v>
      </c>
    </row>
    <row r="398" spans="1:17" ht="15.75" customHeight="1" x14ac:dyDescent="0.25">
      <c r="A398" s="1" t="s">
        <v>1114</v>
      </c>
      <c r="B398" s="1" t="s">
        <v>18</v>
      </c>
      <c r="C398" s="1" t="s">
        <v>19</v>
      </c>
      <c r="D398" s="1" t="s">
        <v>20</v>
      </c>
      <c r="E398" s="1" t="s">
        <v>21</v>
      </c>
      <c r="F398" s="1" t="s">
        <v>22</v>
      </c>
      <c r="G398" s="1" t="s">
        <v>1208</v>
      </c>
      <c r="H398" s="1" t="s">
        <v>1209</v>
      </c>
      <c r="I398" s="1" t="s">
        <v>1210</v>
      </c>
      <c r="J398" s="1" t="s">
        <v>26</v>
      </c>
      <c r="K398" s="1">
        <v>2023</v>
      </c>
      <c r="L398" s="1">
        <v>10</v>
      </c>
      <c r="M398" s="1" t="s">
        <v>27</v>
      </c>
      <c r="N398" s="1" t="s">
        <v>28</v>
      </c>
      <c r="O398" s="1" t="s">
        <v>29</v>
      </c>
      <c r="P398" s="1" t="s">
        <v>1211</v>
      </c>
      <c r="Q398" s="1" t="s">
        <v>1212</v>
      </c>
    </row>
    <row r="399" spans="1:17" ht="15.75" customHeight="1" x14ac:dyDescent="0.25">
      <c r="A399" s="1" t="s">
        <v>1213</v>
      </c>
      <c r="B399" s="1" t="s">
        <v>18</v>
      </c>
      <c r="C399" s="1" t="s">
        <v>19</v>
      </c>
      <c r="D399" s="1" t="s">
        <v>20</v>
      </c>
      <c r="E399" s="1" t="s">
        <v>21</v>
      </c>
      <c r="F399" s="1" t="s">
        <v>22</v>
      </c>
      <c r="G399" s="1" t="s">
        <v>75</v>
      </c>
      <c r="H399" s="1" t="s">
        <v>76</v>
      </c>
      <c r="I399" s="1" t="s">
        <v>77</v>
      </c>
      <c r="J399" s="1" t="s">
        <v>26</v>
      </c>
      <c r="K399" s="1">
        <v>2023</v>
      </c>
      <c r="L399" s="1">
        <v>10</v>
      </c>
      <c r="M399" s="1" t="s">
        <v>27</v>
      </c>
      <c r="N399" s="1" t="s">
        <v>28</v>
      </c>
      <c r="O399" s="1" t="s">
        <v>29</v>
      </c>
      <c r="P399" s="1" t="s">
        <v>78</v>
      </c>
      <c r="Q399" s="1" t="s">
        <v>1214</v>
      </c>
    </row>
    <row r="400" spans="1:17" ht="15.75" customHeight="1" x14ac:dyDescent="0.25">
      <c r="A400" s="1" t="s">
        <v>1215</v>
      </c>
      <c r="B400" s="1" t="s">
        <v>18</v>
      </c>
      <c r="C400" s="1" t="s">
        <v>19</v>
      </c>
      <c r="D400" s="1" t="s">
        <v>20</v>
      </c>
      <c r="E400" s="1" t="s">
        <v>21</v>
      </c>
      <c r="F400" s="1" t="s">
        <v>22</v>
      </c>
      <c r="G400" s="1" t="s">
        <v>75</v>
      </c>
      <c r="H400" s="1" t="s">
        <v>236</v>
      </c>
      <c r="I400" s="1" t="s">
        <v>237</v>
      </c>
      <c r="J400" s="1" t="s">
        <v>26</v>
      </c>
      <c r="K400" s="1">
        <v>2023</v>
      </c>
      <c r="L400" s="1">
        <v>10</v>
      </c>
      <c r="M400" s="1" t="s">
        <v>27</v>
      </c>
      <c r="N400" s="1" t="s">
        <v>28</v>
      </c>
      <c r="O400" s="1" t="s">
        <v>29</v>
      </c>
      <c r="P400" s="1" t="s">
        <v>78</v>
      </c>
      <c r="Q400" s="1" t="s">
        <v>1216</v>
      </c>
    </row>
    <row r="401" spans="1:17" ht="15.75" customHeight="1" x14ac:dyDescent="0.25">
      <c r="A401" s="1" t="s">
        <v>151</v>
      </c>
      <c r="B401" s="1" t="s">
        <v>18</v>
      </c>
      <c r="C401" s="1" t="s">
        <v>19</v>
      </c>
      <c r="D401" s="1" t="s">
        <v>20</v>
      </c>
      <c r="E401" s="1" t="s">
        <v>21</v>
      </c>
      <c r="F401" s="1" t="s">
        <v>22</v>
      </c>
      <c r="G401" s="1" t="s">
        <v>152</v>
      </c>
      <c r="H401" s="1" t="s">
        <v>590</v>
      </c>
      <c r="I401" s="1" t="s">
        <v>591</v>
      </c>
      <c r="J401" s="1" t="s">
        <v>26</v>
      </c>
      <c r="K401" s="1">
        <v>2023</v>
      </c>
      <c r="L401" s="1">
        <v>10</v>
      </c>
      <c r="M401" s="1" t="s">
        <v>27</v>
      </c>
      <c r="N401" s="1" t="s">
        <v>28</v>
      </c>
      <c r="O401" s="1" t="s">
        <v>29</v>
      </c>
      <c r="P401" s="1" t="s">
        <v>155</v>
      </c>
      <c r="Q401" s="1" t="s">
        <v>1217</v>
      </c>
    </row>
    <row r="402" spans="1:17" ht="15.75" customHeight="1" x14ac:dyDescent="0.25">
      <c r="A402" s="1" t="s">
        <v>252</v>
      </c>
      <c r="B402" s="1" t="s">
        <v>18</v>
      </c>
      <c r="C402" s="1" t="s">
        <v>19</v>
      </c>
      <c r="D402" s="1" t="s">
        <v>20</v>
      </c>
      <c r="E402" s="1" t="s">
        <v>21</v>
      </c>
      <c r="F402" s="1" t="s">
        <v>22</v>
      </c>
      <c r="G402" s="1" t="s">
        <v>253</v>
      </c>
      <c r="H402" s="1" t="s">
        <v>254</v>
      </c>
      <c r="I402" s="1" t="s">
        <v>255</v>
      </c>
      <c r="J402" s="1" t="s">
        <v>26</v>
      </c>
      <c r="K402" s="1">
        <v>2023</v>
      </c>
      <c r="L402" s="1">
        <v>10</v>
      </c>
      <c r="M402" s="1" t="s">
        <v>27</v>
      </c>
      <c r="N402" s="1" t="s">
        <v>28</v>
      </c>
      <c r="O402" s="1" t="s">
        <v>29</v>
      </c>
      <c r="P402" s="1" t="s">
        <v>256</v>
      </c>
      <c r="Q402" s="1" t="s">
        <v>1218</v>
      </c>
    </row>
    <row r="403" spans="1:17" ht="15.75" customHeight="1" x14ac:dyDescent="0.25">
      <c r="A403" s="1" t="s">
        <v>1219</v>
      </c>
      <c r="B403" s="1" t="s">
        <v>18</v>
      </c>
      <c r="C403" s="1" t="s">
        <v>19</v>
      </c>
      <c r="D403" s="1" t="s">
        <v>20</v>
      </c>
      <c r="E403" s="1" t="s">
        <v>21</v>
      </c>
      <c r="F403" s="1" t="s">
        <v>22</v>
      </c>
      <c r="G403" s="1" t="s">
        <v>1220</v>
      </c>
      <c r="H403" s="1" t="s">
        <v>1221</v>
      </c>
      <c r="I403" s="1" t="s">
        <v>1222</v>
      </c>
      <c r="J403" s="1" t="s">
        <v>1223</v>
      </c>
      <c r="K403" s="1">
        <v>2023</v>
      </c>
      <c r="L403" s="1">
        <v>10</v>
      </c>
      <c r="M403" s="1" t="s">
        <v>27</v>
      </c>
      <c r="N403" s="1" t="s">
        <v>28</v>
      </c>
      <c r="O403" s="1" t="s">
        <v>29</v>
      </c>
      <c r="P403" s="1" t="s">
        <v>1224</v>
      </c>
      <c r="Q403" s="1" t="s">
        <v>1225</v>
      </c>
    </row>
    <row r="404" spans="1:17" ht="15.75" customHeight="1" x14ac:dyDescent="0.25">
      <c r="A404" s="1" t="s">
        <v>1226</v>
      </c>
      <c r="B404" s="1" t="s">
        <v>18</v>
      </c>
      <c r="C404" s="1" t="s">
        <v>19</v>
      </c>
      <c r="D404" s="1" t="s">
        <v>20</v>
      </c>
      <c r="E404" s="1" t="s">
        <v>86</v>
      </c>
      <c r="F404" s="1" t="s">
        <v>22</v>
      </c>
      <c r="G404" s="1" t="s">
        <v>180</v>
      </c>
      <c r="H404" s="1" t="s">
        <v>622</v>
      </c>
      <c r="I404" s="1" t="s">
        <v>623</v>
      </c>
      <c r="J404" s="1" t="s">
        <v>26</v>
      </c>
      <c r="K404" s="1">
        <v>2023</v>
      </c>
      <c r="L404" s="1">
        <v>11</v>
      </c>
      <c r="M404" s="1" t="s">
        <v>89</v>
      </c>
      <c r="N404" s="1" t="s">
        <v>28</v>
      </c>
      <c r="O404" s="1" t="s">
        <v>29</v>
      </c>
      <c r="P404" s="1" t="s">
        <v>183</v>
      </c>
      <c r="Q404" s="1" t="s">
        <v>1227</v>
      </c>
    </row>
    <row r="405" spans="1:17" ht="15.75" customHeight="1" x14ac:dyDescent="0.25">
      <c r="A405" s="1" t="s">
        <v>1206</v>
      </c>
      <c r="B405" s="1" t="s">
        <v>18</v>
      </c>
      <c r="C405" s="1" t="s">
        <v>19</v>
      </c>
      <c r="D405" s="1" t="s">
        <v>20</v>
      </c>
      <c r="E405" s="1" t="s">
        <v>21</v>
      </c>
      <c r="F405" s="1" t="s">
        <v>22</v>
      </c>
      <c r="G405" s="1" t="s">
        <v>23</v>
      </c>
      <c r="H405" s="1" t="s">
        <v>24</v>
      </c>
      <c r="I405" s="1" t="s">
        <v>25</v>
      </c>
      <c r="J405" s="1" t="s">
        <v>26</v>
      </c>
      <c r="K405" s="1">
        <v>2023</v>
      </c>
      <c r="L405" s="1">
        <v>11</v>
      </c>
      <c r="M405" s="1" t="s">
        <v>27</v>
      </c>
      <c r="N405" s="1" t="s">
        <v>28</v>
      </c>
      <c r="O405" s="1" t="s">
        <v>29</v>
      </c>
      <c r="P405" s="1" t="s">
        <v>30</v>
      </c>
      <c r="Q405" s="1" t="s">
        <v>1228</v>
      </c>
    </row>
    <row r="406" spans="1:17" ht="15.75" customHeight="1" x14ac:dyDescent="0.25">
      <c r="A406" s="1" t="s">
        <v>470</v>
      </c>
      <c r="B406" s="1" t="s">
        <v>18</v>
      </c>
      <c r="C406" s="1" t="s">
        <v>19</v>
      </c>
      <c r="D406" s="1" t="s">
        <v>20</v>
      </c>
      <c r="E406" s="1" t="s">
        <v>21</v>
      </c>
      <c r="F406" s="1" t="s">
        <v>22</v>
      </c>
      <c r="G406" s="1" t="s">
        <v>471</v>
      </c>
      <c r="H406" s="1" t="s">
        <v>472</v>
      </c>
      <c r="I406" s="1" t="s">
        <v>473</v>
      </c>
      <c r="J406" s="1" t="s">
        <v>26</v>
      </c>
      <c r="K406" s="1">
        <v>2023</v>
      </c>
      <c r="L406" s="1">
        <v>11</v>
      </c>
      <c r="M406" s="1" t="s">
        <v>27</v>
      </c>
      <c r="N406" s="1" t="s">
        <v>28</v>
      </c>
      <c r="O406" s="1" t="s">
        <v>29</v>
      </c>
      <c r="P406" s="1" t="s">
        <v>474</v>
      </c>
      <c r="Q406" s="1" t="s">
        <v>1229</v>
      </c>
    </row>
    <row r="407" spans="1:17" ht="15.75" customHeight="1" x14ac:dyDescent="0.25">
      <c r="A407" s="1" t="s">
        <v>625</v>
      </c>
      <c r="B407" s="1" t="s">
        <v>18</v>
      </c>
      <c r="C407" s="1" t="s">
        <v>19</v>
      </c>
      <c r="D407" s="1" t="s">
        <v>20</v>
      </c>
      <c r="E407" s="1" t="s">
        <v>21</v>
      </c>
      <c r="F407" s="1" t="s">
        <v>22</v>
      </c>
      <c r="G407" s="1" t="s">
        <v>223</v>
      </c>
      <c r="H407" s="1" t="s">
        <v>626</v>
      </c>
      <c r="I407" s="1" t="s">
        <v>627</v>
      </c>
      <c r="J407" s="1" t="s">
        <v>26</v>
      </c>
      <c r="K407" s="1">
        <v>2023</v>
      </c>
      <c r="L407" s="1">
        <v>11</v>
      </c>
      <c r="M407" s="1" t="s">
        <v>27</v>
      </c>
      <c r="N407" s="1" t="s">
        <v>28</v>
      </c>
      <c r="O407" s="1" t="s">
        <v>29</v>
      </c>
      <c r="P407" s="1" t="s">
        <v>226</v>
      </c>
      <c r="Q407" s="1" t="s">
        <v>1230</v>
      </c>
    </row>
    <row r="408" spans="1:17" ht="15.75" customHeight="1" x14ac:dyDescent="0.25">
      <c r="A408" s="1" t="s">
        <v>339</v>
      </c>
      <c r="B408" s="1" t="s">
        <v>18</v>
      </c>
      <c r="C408" s="1" t="s">
        <v>19</v>
      </c>
      <c r="D408" s="1" t="s">
        <v>20</v>
      </c>
      <c r="E408" s="1" t="s">
        <v>21</v>
      </c>
      <c r="F408" s="1" t="s">
        <v>22</v>
      </c>
      <c r="G408" s="1" t="s">
        <v>75</v>
      </c>
      <c r="H408" s="1" t="s">
        <v>376</v>
      </c>
      <c r="I408" s="1" t="s">
        <v>377</v>
      </c>
      <c r="J408" s="1" t="s">
        <v>26</v>
      </c>
      <c r="K408" s="1">
        <v>2023</v>
      </c>
      <c r="L408" s="1">
        <v>11</v>
      </c>
      <c r="M408" s="1" t="s">
        <v>27</v>
      </c>
      <c r="N408" s="1" t="s">
        <v>28</v>
      </c>
      <c r="O408" s="1" t="s">
        <v>29</v>
      </c>
      <c r="P408" s="1" t="s">
        <v>78</v>
      </c>
      <c r="Q408" s="1" t="s">
        <v>1231</v>
      </c>
    </row>
    <row r="409" spans="1:17" ht="15.75" customHeight="1" x14ac:dyDescent="0.25">
      <c r="A409" s="1" t="s">
        <v>44</v>
      </c>
      <c r="B409" s="1" t="s">
        <v>18</v>
      </c>
      <c r="C409" s="1" t="s">
        <v>19</v>
      </c>
      <c r="D409" s="1" t="s">
        <v>20</v>
      </c>
      <c r="E409" s="1" t="s">
        <v>21</v>
      </c>
      <c r="F409" s="1" t="s">
        <v>22</v>
      </c>
      <c r="G409" s="1" t="s">
        <v>39</v>
      </c>
      <c r="H409" s="1" t="s">
        <v>45</v>
      </c>
      <c r="I409" s="1" t="s">
        <v>46</v>
      </c>
      <c r="J409" s="1" t="s">
        <v>26</v>
      </c>
      <c r="K409" s="1">
        <v>2023</v>
      </c>
      <c r="L409" s="1">
        <v>11</v>
      </c>
      <c r="M409" s="1" t="s">
        <v>27</v>
      </c>
      <c r="N409" s="1" t="s">
        <v>28</v>
      </c>
      <c r="O409" s="1" t="s">
        <v>29</v>
      </c>
      <c r="P409" s="1" t="s">
        <v>42</v>
      </c>
      <c r="Q409" s="1" t="s">
        <v>1232</v>
      </c>
    </row>
    <row r="410" spans="1:17" ht="15.75" customHeight="1" x14ac:dyDescent="0.25">
      <c r="A410" s="1" t="s">
        <v>313</v>
      </c>
      <c r="B410" s="1" t="s">
        <v>18</v>
      </c>
      <c r="C410" s="1" t="s">
        <v>19</v>
      </c>
      <c r="D410" s="1" t="s">
        <v>20</v>
      </c>
      <c r="E410" s="1" t="s">
        <v>21</v>
      </c>
      <c r="F410" s="1" t="s">
        <v>22</v>
      </c>
      <c r="G410" s="1" t="s">
        <v>314</v>
      </c>
      <c r="H410" s="1" t="s">
        <v>455</v>
      </c>
      <c r="I410" s="1" t="s">
        <v>456</v>
      </c>
      <c r="J410" s="1" t="s">
        <v>26</v>
      </c>
      <c r="K410" s="1">
        <v>2023</v>
      </c>
      <c r="L410" s="1">
        <v>11</v>
      </c>
      <c r="M410" s="1" t="s">
        <v>27</v>
      </c>
      <c r="N410" s="1" t="s">
        <v>28</v>
      </c>
      <c r="O410" s="1" t="s">
        <v>29</v>
      </c>
      <c r="P410" s="1" t="s">
        <v>317</v>
      </c>
      <c r="Q410" s="1" t="s">
        <v>1233</v>
      </c>
    </row>
    <row r="411" spans="1:17" ht="15.75" customHeight="1" x14ac:dyDescent="0.25">
      <c r="A411" s="1" t="s">
        <v>1234</v>
      </c>
      <c r="B411" s="1" t="s">
        <v>18</v>
      </c>
      <c r="C411" s="1" t="s">
        <v>19</v>
      </c>
      <c r="D411" s="1" t="s">
        <v>20</v>
      </c>
      <c r="E411" s="1" t="s">
        <v>21</v>
      </c>
      <c r="F411" s="1" t="s">
        <v>22</v>
      </c>
      <c r="G411" s="1" t="s">
        <v>104</v>
      </c>
      <c r="H411" s="1" t="s">
        <v>497</v>
      </c>
      <c r="I411" s="1" t="s">
        <v>498</v>
      </c>
      <c r="J411" s="1" t="s">
        <v>26</v>
      </c>
      <c r="K411" s="1">
        <v>2023</v>
      </c>
      <c r="L411" s="1">
        <v>11</v>
      </c>
      <c r="M411" s="1" t="s">
        <v>27</v>
      </c>
      <c r="N411" s="1" t="s">
        <v>28</v>
      </c>
      <c r="O411" s="1" t="s">
        <v>29</v>
      </c>
      <c r="P411" s="1" t="s">
        <v>107</v>
      </c>
      <c r="Q411" s="1" t="s">
        <v>1235</v>
      </c>
    </row>
    <row r="412" spans="1:17" ht="15.75" customHeight="1" x14ac:dyDescent="0.25">
      <c r="A412" s="1" t="s">
        <v>1236</v>
      </c>
      <c r="B412" s="1" t="s">
        <v>18</v>
      </c>
      <c r="C412" s="1" t="s">
        <v>19</v>
      </c>
      <c r="D412" s="1" t="s">
        <v>123</v>
      </c>
      <c r="E412" s="1" t="s">
        <v>124</v>
      </c>
      <c r="F412" s="1" t="s">
        <v>125</v>
      </c>
      <c r="G412" s="1" t="s">
        <v>819</v>
      </c>
      <c r="H412" s="1" t="s">
        <v>1237</v>
      </c>
      <c r="I412" s="1" t="s">
        <v>1238</v>
      </c>
      <c r="J412" s="1" t="s">
        <v>129</v>
      </c>
      <c r="K412" s="1">
        <v>2023</v>
      </c>
      <c r="L412" s="1">
        <v>7</v>
      </c>
      <c r="M412" s="1" t="s">
        <v>130</v>
      </c>
      <c r="N412" s="1" t="s">
        <v>28</v>
      </c>
      <c r="O412" s="1" t="s">
        <v>131</v>
      </c>
      <c r="P412" s="1" t="s">
        <v>824</v>
      </c>
      <c r="Q412" s="1" t="s">
        <v>1239</v>
      </c>
    </row>
    <row r="413" spans="1:17" ht="15.75" customHeight="1" x14ac:dyDescent="0.25">
      <c r="A413" s="1" t="s">
        <v>1240</v>
      </c>
      <c r="B413" s="1" t="s">
        <v>18</v>
      </c>
      <c r="C413" s="1" t="s">
        <v>19</v>
      </c>
      <c r="D413" s="1" t="s">
        <v>20</v>
      </c>
      <c r="E413" s="1" t="s">
        <v>21</v>
      </c>
      <c r="F413" s="1" t="s">
        <v>22</v>
      </c>
      <c r="G413" s="1" t="s">
        <v>1220</v>
      </c>
      <c r="H413" s="1" t="s">
        <v>1221</v>
      </c>
      <c r="I413" s="1" t="s">
        <v>1222</v>
      </c>
      <c r="J413" s="1" t="s">
        <v>26</v>
      </c>
      <c r="K413" s="1">
        <v>2023</v>
      </c>
      <c r="L413" s="1">
        <v>11</v>
      </c>
      <c r="M413" s="1" t="s">
        <v>27</v>
      </c>
      <c r="N413" s="1" t="s">
        <v>28</v>
      </c>
      <c r="O413" s="1" t="s">
        <v>29</v>
      </c>
      <c r="P413" s="1" t="s">
        <v>1224</v>
      </c>
      <c r="Q413" s="1" t="s">
        <v>1241</v>
      </c>
    </row>
    <row r="414" spans="1:17" ht="15.75" customHeight="1" x14ac:dyDescent="0.25">
      <c r="A414" s="1" t="s">
        <v>1242</v>
      </c>
      <c r="B414" s="1" t="s">
        <v>18</v>
      </c>
      <c r="C414" s="1" t="s">
        <v>19</v>
      </c>
      <c r="D414" s="1" t="s">
        <v>20</v>
      </c>
      <c r="E414" s="1" t="s">
        <v>21</v>
      </c>
      <c r="F414" s="1" t="s">
        <v>22</v>
      </c>
      <c r="G414" s="1" t="s">
        <v>1243</v>
      </c>
      <c r="H414" s="1" t="s">
        <v>1244</v>
      </c>
      <c r="I414" s="1" t="s">
        <v>1245</v>
      </c>
      <c r="J414" s="1" t="s">
        <v>1182</v>
      </c>
      <c r="K414" s="1">
        <v>2023</v>
      </c>
      <c r="L414" s="1">
        <v>11</v>
      </c>
      <c r="M414" s="1" t="s">
        <v>27</v>
      </c>
      <c r="N414" s="1" t="s">
        <v>28</v>
      </c>
      <c r="O414" s="1" t="s">
        <v>29</v>
      </c>
      <c r="P414" s="1" t="s">
        <v>1246</v>
      </c>
      <c r="Q414" s="1" t="s">
        <v>1247</v>
      </c>
    </row>
    <row r="415" spans="1:17" ht="15.75" customHeight="1" x14ac:dyDescent="0.25">
      <c r="A415" s="1" t="s">
        <v>411</v>
      </c>
      <c r="B415" s="1" t="s">
        <v>18</v>
      </c>
      <c r="C415" s="1" t="s">
        <v>19</v>
      </c>
      <c r="D415" s="1" t="s">
        <v>20</v>
      </c>
      <c r="E415" s="1" t="s">
        <v>86</v>
      </c>
      <c r="F415" s="1" t="s">
        <v>22</v>
      </c>
      <c r="G415" s="1" t="s">
        <v>223</v>
      </c>
      <c r="H415" s="1" t="s">
        <v>412</v>
      </c>
      <c r="I415" s="1" t="s">
        <v>413</v>
      </c>
      <c r="J415" s="1" t="s">
        <v>26</v>
      </c>
      <c r="K415" s="1">
        <v>2023</v>
      </c>
      <c r="L415" s="1">
        <v>12</v>
      </c>
      <c r="M415" s="1" t="s">
        <v>89</v>
      </c>
      <c r="N415" s="1" t="s">
        <v>28</v>
      </c>
      <c r="O415" s="1" t="s">
        <v>29</v>
      </c>
      <c r="P415" s="1" t="s">
        <v>226</v>
      </c>
      <c r="Q415" s="1" t="s">
        <v>1248</v>
      </c>
    </row>
    <row r="416" spans="1:17" ht="15.75" customHeight="1" x14ac:dyDescent="0.25">
      <c r="A416" s="1" t="s">
        <v>1249</v>
      </c>
      <c r="B416" s="1" t="s">
        <v>18</v>
      </c>
      <c r="C416" s="1" t="s">
        <v>19</v>
      </c>
      <c r="D416" s="1" t="s">
        <v>20</v>
      </c>
      <c r="E416" s="1" t="s">
        <v>21</v>
      </c>
      <c r="F416" s="1" t="s">
        <v>22</v>
      </c>
      <c r="G416" s="1" t="s">
        <v>61</v>
      </c>
      <c r="H416" s="1" t="s">
        <v>330</v>
      </c>
      <c r="I416" s="1" t="s">
        <v>331</v>
      </c>
      <c r="J416" s="1" t="s">
        <v>64</v>
      </c>
      <c r="K416" s="1">
        <v>2023</v>
      </c>
      <c r="L416" s="1">
        <v>12</v>
      </c>
      <c r="M416" s="1" t="s">
        <v>27</v>
      </c>
      <c r="N416" s="1" t="s">
        <v>28</v>
      </c>
      <c r="O416" s="1" t="s">
        <v>29</v>
      </c>
      <c r="P416" s="1" t="s">
        <v>65</v>
      </c>
      <c r="Q416" s="1" t="s">
        <v>1250</v>
      </c>
    </row>
    <row r="417" spans="1:17" ht="15.75" customHeight="1" x14ac:dyDescent="0.25">
      <c r="A417" s="1" t="s">
        <v>470</v>
      </c>
      <c r="B417" s="1" t="s">
        <v>18</v>
      </c>
      <c r="C417" s="1" t="s">
        <v>19</v>
      </c>
      <c r="D417" s="1" t="s">
        <v>20</v>
      </c>
      <c r="E417" s="1" t="s">
        <v>21</v>
      </c>
      <c r="F417" s="1" t="s">
        <v>22</v>
      </c>
      <c r="G417" s="1" t="s">
        <v>471</v>
      </c>
      <c r="H417" s="1" t="s">
        <v>472</v>
      </c>
      <c r="I417" s="1" t="s">
        <v>473</v>
      </c>
      <c r="J417" s="1" t="s">
        <v>26</v>
      </c>
      <c r="K417" s="1">
        <v>2023</v>
      </c>
      <c r="L417" s="1">
        <v>12</v>
      </c>
      <c r="M417" s="1" t="s">
        <v>27</v>
      </c>
      <c r="N417" s="1" t="s">
        <v>28</v>
      </c>
      <c r="O417" s="1" t="s">
        <v>29</v>
      </c>
      <c r="P417" s="1" t="s">
        <v>474</v>
      </c>
      <c r="Q417" s="1" t="s">
        <v>1251</v>
      </c>
    </row>
    <row r="418" spans="1:17" ht="15.75" customHeight="1" x14ac:dyDescent="0.25">
      <c r="A418" s="1" t="s">
        <v>339</v>
      </c>
      <c r="B418" s="1" t="s">
        <v>18</v>
      </c>
      <c r="C418" s="1" t="s">
        <v>19</v>
      </c>
      <c r="D418" s="1" t="s">
        <v>20</v>
      </c>
      <c r="E418" s="1" t="s">
        <v>21</v>
      </c>
      <c r="F418" s="1" t="s">
        <v>22</v>
      </c>
      <c r="G418" s="1" t="s">
        <v>75</v>
      </c>
      <c r="H418" s="1" t="s">
        <v>340</v>
      </c>
      <c r="I418" s="1" t="s">
        <v>341</v>
      </c>
      <c r="J418" s="1" t="s">
        <v>26</v>
      </c>
      <c r="K418" s="1">
        <v>2023</v>
      </c>
      <c r="L418" s="1">
        <v>12</v>
      </c>
      <c r="M418" s="1" t="s">
        <v>27</v>
      </c>
      <c r="N418" s="1" t="s">
        <v>28</v>
      </c>
      <c r="O418" s="1" t="s">
        <v>29</v>
      </c>
      <c r="P418" s="1" t="s">
        <v>78</v>
      </c>
      <c r="Q418" s="1" t="s">
        <v>1252</v>
      </c>
    </row>
    <row r="419" spans="1:17" ht="15.75" customHeight="1" x14ac:dyDescent="0.25">
      <c r="A419" s="1" t="s">
        <v>1253</v>
      </c>
      <c r="B419" s="1" t="s">
        <v>18</v>
      </c>
      <c r="C419" s="1" t="s">
        <v>19</v>
      </c>
      <c r="D419" s="1" t="s">
        <v>20</v>
      </c>
      <c r="E419" s="1" t="s">
        <v>86</v>
      </c>
      <c r="F419" s="1" t="s">
        <v>22</v>
      </c>
      <c r="G419" s="1" t="s">
        <v>324</v>
      </c>
      <c r="H419" s="1" t="s">
        <v>325</v>
      </c>
      <c r="I419" s="1" t="s">
        <v>326</v>
      </c>
      <c r="J419" s="1" t="s">
        <v>64</v>
      </c>
      <c r="K419" s="1">
        <v>2023</v>
      </c>
      <c r="L419" s="1">
        <v>1</v>
      </c>
      <c r="M419" s="1" t="s">
        <v>89</v>
      </c>
      <c r="N419" s="1" t="s">
        <v>28</v>
      </c>
      <c r="O419" s="1" t="s">
        <v>29</v>
      </c>
      <c r="P419" s="1" t="s">
        <v>327</v>
      </c>
      <c r="Q419" s="1" t="s">
        <v>1254</v>
      </c>
    </row>
    <row r="420" spans="1:17" ht="15.75" customHeight="1" x14ac:dyDescent="0.25">
      <c r="A420" s="1" t="s">
        <v>97</v>
      </c>
      <c r="B420" s="1" t="s">
        <v>18</v>
      </c>
      <c r="C420" s="1" t="s">
        <v>19</v>
      </c>
      <c r="D420" s="1" t="s">
        <v>20</v>
      </c>
      <c r="E420" s="1" t="s">
        <v>86</v>
      </c>
      <c r="F420" s="1" t="s">
        <v>22</v>
      </c>
      <c r="G420" s="1" t="s">
        <v>98</v>
      </c>
      <c r="H420" s="1" t="s">
        <v>99</v>
      </c>
      <c r="I420" s="1" t="s">
        <v>100</v>
      </c>
      <c r="J420" s="1" t="s">
        <v>26</v>
      </c>
      <c r="K420" s="1">
        <v>2023</v>
      </c>
      <c r="L420" s="1">
        <v>1</v>
      </c>
      <c r="M420" s="1" t="s">
        <v>89</v>
      </c>
      <c r="N420" s="1" t="s">
        <v>28</v>
      </c>
      <c r="O420" s="1" t="s">
        <v>29</v>
      </c>
      <c r="P420" s="1" t="s">
        <v>101</v>
      </c>
      <c r="Q420" s="1" t="s">
        <v>1255</v>
      </c>
    </row>
    <row r="421" spans="1:17" ht="15.75" customHeight="1" x14ac:dyDescent="0.25">
      <c r="A421" s="1" t="s">
        <v>1256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22</v>
      </c>
      <c r="G421" s="1" t="s">
        <v>61</v>
      </c>
      <c r="H421" s="1" t="s">
        <v>62</v>
      </c>
      <c r="I421" s="1" t="s">
        <v>63</v>
      </c>
      <c r="J421" s="1" t="s">
        <v>64</v>
      </c>
      <c r="K421" s="1">
        <v>2023</v>
      </c>
      <c r="L421" s="1">
        <v>1</v>
      </c>
      <c r="M421" s="1" t="s">
        <v>27</v>
      </c>
      <c r="N421" s="1" t="s">
        <v>28</v>
      </c>
      <c r="O421" s="1" t="s">
        <v>29</v>
      </c>
      <c r="P421" s="1" t="s">
        <v>65</v>
      </c>
      <c r="Q421" s="1" t="s">
        <v>1257</v>
      </c>
    </row>
    <row r="422" spans="1:17" ht="15.75" customHeight="1" x14ac:dyDescent="0.25">
      <c r="A422" s="1" t="s">
        <v>200</v>
      </c>
      <c r="B422" s="1" t="s">
        <v>18</v>
      </c>
      <c r="C422" s="1" t="s">
        <v>19</v>
      </c>
      <c r="D422" s="1" t="s">
        <v>20</v>
      </c>
      <c r="E422" s="1" t="s">
        <v>21</v>
      </c>
      <c r="F422" s="1" t="s">
        <v>22</v>
      </c>
      <c r="G422" s="1" t="s">
        <v>201</v>
      </c>
      <c r="H422" s="1" t="s">
        <v>202</v>
      </c>
      <c r="I422" s="1" t="s">
        <v>203</v>
      </c>
      <c r="J422" s="1" t="s">
        <v>26</v>
      </c>
      <c r="K422" s="1">
        <v>2023</v>
      </c>
      <c r="L422" s="1">
        <v>1</v>
      </c>
      <c r="M422" s="1" t="s">
        <v>27</v>
      </c>
      <c r="N422" s="1" t="s">
        <v>28</v>
      </c>
      <c r="O422" s="1" t="s">
        <v>29</v>
      </c>
      <c r="P422" s="1" t="s">
        <v>204</v>
      </c>
      <c r="Q422" s="1" t="s">
        <v>1258</v>
      </c>
    </row>
    <row r="423" spans="1:17" ht="15.75" customHeight="1" x14ac:dyDescent="0.25">
      <c r="A423" s="1" t="s">
        <v>144</v>
      </c>
      <c r="B423" s="1" t="s">
        <v>18</v>
      </c>
      <c r="C423" s="1" t="s">
        <v>19</v>
      </c>
      <c r="D423" s="1" t="s">
        <v>20</v>
      </c>
      <c r="E423" s="1" t="s">
        <v>21</v>
      </c>
      <c r="F423" s="1" t="s">
        <v>22</v>
      </c>
      <c r="G423" s="1" t="s">
        <v>145</v>
      </c>
      <c r="H423" s="1" t="s">
        <v>146</v>
      </c>
      <c r="I423" s="1" t="s">
        <v>147</v>
      </c>
      <c r="J423" s="1" t="s">
        <v>26</v>
      </c>
      <c r="K423" s="1">
        <v>2023</v>
      </c>
      <c r="L423" s="1">
        <v>1</v>
      </c>
      <c r="M423" s="1" t="s">
        <v>27</v>
      </c>
      <c r="N423" s="1" t="s">
        <v>28</v>
      </c>
      <c r="O423" s="1" t="s">
        <v>29</v>
      </c>
      <c r="P423" s="1" t="s">
        <v>148</v>
      </c>
      <c r="Q423" s="1" t="s">
        <v>1259</v>
      </c>
    </row>
    <row r="424" spans="1:17" ht="15.75" customHeight="1" x14ac:dyDescent="0.25">
      <c r="A424" s="1" t="s">
        <v>67</v>
      </c>
      <c r="B424" s="1" t="s">
        <v>18</v>
      </c>
      <c r="C424" s="1" t="s">
        <v>19</v>
      </c>
      <c r="D424" s="1" t="s">
        <v>20</v>
      </c>
      <c r="E424" s="1" t="s">
        <v>21</v>
      </c>
      <c r="F424" s="1" t="s">
        <v>22</v>
      </c>
      <c r="G424" s="1" t="s">
        <v>239</v>
      </c>
      <c r="H424" s="1" t="s">
        <v>240</v>
      </c>
      <c r="I424" s="1" t="s">
        <v>241</v>
      </c>
      <c r="J424" s="1" t="s">
        <v>26</v>
      </c>
      <c r="K424" s="1">
        <v>2023</v>
      </c>
      <c r="L424" s="1">
        <v>1</v>
      </c>
      <c r="M424" s="1" t="s">
        <v>27</v>
      </c>
      <c r="N424" s="1" t="s">
        <v>28</v>
      </c>
      <c r="O424" s="1" t="s">
        <v>29</v>
      </c>
      <c r="P424" s="1" t="s">
        <v>242</v>
      </c>
      <c r="Q424" s="1" t="s">
        <v>1260</v>
      </c>
    </row>
    <row r="425" spans="1:17" ht="15.75" customHeight="1" x14ac:dyDescent="0.25">
      <c r="A425" s="1" t="s">
        <v>38</v>
      </c>
      <c r="B425" s="1" t="s">
        <v>18</v>
      </c>
      <c r="C425" s="1" t="s">
        <v>19</v>
      </c>
      <c r="D425" s="1" t="s">
        <v>20</v>
      </c>
      <c r="E425" s="1" t="s">
        <v>21</v>
      </c>
      <c r="F425" s="1" t="s">
        <v>22</v>
      </c>
      <c r="G425" s="1" t="s">
        <v>39</v>
      </c>
      <c r="H425" s="1" t="s">
        <v>493</v>
      </c>
      <c r="I425" s="1" t="s">
        <v>494</v>
      </c>
      <c r="J425" s="1" t="s">
        <v>26</v>
      </c>
      <c r="K425" s="1">
        <v>2023</v>
      </c>
      <c r="L425" s="1">
        <v>1</v>
      </c>
      <c r="M425" s="1" t="s">
        <v>27</v>
      </c>
      <c r="N425" s="1" t="s">
        <v>28</v>
      </c>
      <c r="O425" s="1" t="s">
        <v>29</v>
      </c>
      <c r="P425" s="1" t="s">
        <v>42</v>
      </c>
      <c r="Q425" s="1" t="s">
        <v>1261</v>
      </c>
    </row>
    <row r="426" spans="1:17" ht="15.75" customHeight="1" x14ac:dyDescent="0.25">
      <c r="A426" s="1" t="s">
        <v>54</v>
      </c>
      <c r="B426" s="1" t="s">
        <v>18</v>
      </c>
      <c r="C426" s="1" t="s">
        <v>19</v>
      </c>
      <c r="D426" s="1" t="s">
        <v>20</v>
      </c>
      <c r="E426" s="1" t="s">
        <v>21</v>
      </c>
      <c r="F426" s="1" t="s">
        <v>22</v>
      </c>
      <c r="G426" s="1" t="s">
        <v>39</v>
      </c>
      <c r="H426" s="1" t="s">
        <v>636</v>
      </c>
      <c r="I426" s="1" t="s">
        <v>637</v>
      </c>
      <c r="J426" s="1" t="s">
        <v>26</v>
      </c>
      <c r="K426" s="1">
        <v>2023</v>
      </c>
      <c r="L426" s="1">
        <v>1</v>
      </c>
      <c r="M426" s="1" t="s">
        <v>27</v>
      </c>
      <c r="N426" s="1" t="s">
        <v>28</v>
      </c>
      <c r="O426" s="1" t="s">
        <v>29</v>
      </c>
      <c r="P426" s="1" t="s">
        <v>42</v>
      </c>
      <c r="Q426" s="1" t="s">
        <v>1262</v>
      </c>
    </row>
    <row r="427" spans="1:17" ht="15.75" customHeight="1" x14ac:dyDescent="0.25">
      <c r="A427" s="1" t="s">
        <v>38</v>
      </c>
      <c r="B427" s="1" t="s">
        <v>18</v>
      </c>
      <c r="C427" s="1" t="s">
        <v>19</v>
      </c>
      <c r="D427" s="1" t="s">
        <v>20</v>
      </c>
      <c r="E427" s="1" t="s">
        <v>21</v>
      </c>
      <c r="F427" s="1" t="s">
        <v>22</v>
      </c>
      <c r="G427" s="1" t="s">
        <v>516</v>
      </c>
      <c r="H427" s="1" t="s">
        <v>517</v>
      </c>
      <c r="I427" s="1" t="s">
        <v>518</v>
      </c>
      <c r="J427" s="1" t="s">
        <v>26</v>
      </c>
      <c r="K427" s="1">
        <v>2023</v>
      </c>
      <c r="L427" s="1">
        <v>1</v>
      </c>
      <c r="M427" s="1" t="s">
        <v>27</v>
      </c>
      <c r="N427" s="1" t="s">
        <v>28</v>
      </c>
      <c r="O427" s="1" t="s">
        <v>29</v>
      </c>
      <c r="P427" s="1" t="s">
        <v>519</v>
      </c>
      <c r="Q427" s="1" t="s">
        <v>1263</v>
      </c>
    </row>
    <row r="428" spans="1:17" ht="15.75" customHeight="1" x14ac:dyDescent="0.25">
      <c r="A428" s="1" t="s">
        <v>166</v>
      </c>
      <c r="B428" s="1" t="s">
        <v>18</v>
      </c>
      <c r="C428" s="1" t="s">
        <v>19</v>
      </c>
      <c r="D428" s="1" t="s">
        <v>20</v>
      </c>
      <c r="E428" s="1" t="s">
        <v>21</v>
      </c>
      <c r="F428" s="1" t="s">
        <v>22</v>
      </c>
      <c r="G428" s="1" t="s">
        <v>167</v>
      </c>
      <c r="H428" s="1" t="s">
        <v>484</v>
      </c>
      <c r="I428" s="1" t="s">
        <v>485</v>
      </c>
      <c r="J428" s="1" t="s">
        <v>26</v>
      </c>
      <c r="K428" s="1">
        <v>2023</v>
      </c>
      <c r="L428" s="1">
        <v>1</v>
      </c>
      <c r="M428" s="1" t="s">
        <v>27</v>
      </c>
      <c r="N428" s="1" t="s">
        <v>28</v>
      </c>
      <c r="O428" s="1" t="s">
        <v>29</v>
      </c>
      <c r="P428" s="1" t="s">
        <v>170</v>
      </c>
      <c r="Q428" s="1" t="s">
        <v>1264</v>
      </c>
    </row>
    <row r="429" spans="1:17" ht="15.75" customHeight="1" x14ac:dyDescent="0.25">
      <c r="A429" s="1" t="s">
        <v>166</v>
      </c>
      <c r="B429" s="1" t="s">
        <v>18</v>
      </c>
      <c r="C429" s="1" t="s">
        <v>19</v>
      </c>
      <c r="D429" s="1" t="s">
        <v>20</v>
      </c>
      <c r="E429" s="1" t="s">
        <v>21</v>
      </c>
      <c r="F429" s="1" t="s">
        <v>22</v>
      </c>
      <c r="G429" s="1" t="s">
        <v>167</v>
      </c>
      <c r="H429" s="1" t="s">
        <v>168</v>
      </c>
      <c r="I429" s="1" t="s">
        <v>169</v>
      </c>
      <c r="J429" s="1" t="s">
        <v>26</v>
      </c>
      <c r="K429" s="1">
        <v>2023</v>
      </c>
      <c r="L429" s="1">
        <v>1</v>
      </c>
      <c r="M429" s="1" t="s">
        <v>27</v>
      </c>
      <c r="N429" s="1" t="s">
        <v>28</v>
      </c>
      <c r="O429" s="1" t="s">
        <v>29</v>
      </c>
      <c r="P429" s="1" t="s">
        <v>170</v>
      </c>
      <c r="Q429" s="1" t="s">
        <v>1265</v>
      </c>
    </row>
    <row r="430" spans="1:17" ht="15.75" customHeight="1" x14ac:dyDescent="0.25">
      <c r="A430" s="1" t="s">
        <v>144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22</v>
      </c>
      <c r="G430" s="1" t="s">
        <v>145</v>
      </c>
      <c r="H430" s="1" t="s">
        <v>146</v>
      </c>
      <c r="I430" s="1" t="s">
        <v>147</v>
      </c>
      <c r="J430" s="1" t="s">
        <v>26</v>
      </c>
      <c r="K430" s="1">
        <v>2023</v>
      </c>
      <c r="L430" s="1">
        <v>2</v>
      </c>
      <c r="M430" s="1" t="s">
        <v>27</v>
      </c>
      <c r="N430" s="1" t="s">
        <v>28</v>
      </c>
      <c r="O430" s="1" t="s">
        <v>29</v>
      </c>
      <c r="P430" s="1" t="s">
        <v>148</v>
      </c>
      <c r="Q430" s="1" t="s">
        <v>1266</v>
      </c>
    </row>
    <row r="431" spans="1:17" ht="15.75" customHeight="1" x14ac:dyDescent="0.25">
      <c r="A431" s="1" t="s">
        <v>1114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22</v>
      </c>
      <c r="G431" s="1" t="s">
        <v>1208</v>
      </c>
      <c r="H431" s="1" t="s">
        <v>1209</v>
      </c>
      <c r="I431" s="1" t="s">
        <v>1210</v>
      </c>
      <c r="J431" s="1" t="s">
        <v>26</v>
      </c>
      <c r="K431" s="1">
        <v>2023</v>
      </c>
      <c r="L431" s="1">
        <v>2</v>
      </c>
      <c r="M431" s="1" t="s">
        <v>27</v>
      </c>
      <c r="N431" s="1" t="s">
        <v>28</v>
      </c>
      <c r="O431" s="1" t="s">
        <v>29</v>
      </c>
      <c r="P431" s="1" t="s">
        <v>1211</v>
      </c>
      <c r="Q431" s="1" t="s">
        <v>1267</v>
      </c>
    </row>
    <row r="432" spans="1:17" ht="15.75" customHeight="1" x14ac:dyDescent="0.25">
      <c r="A432" s="1" t="s">
        <v>1268</v>
      </c>
      <c r="B432" s="1" t="s">
        <v>18</v>
      </c>
      <c r="C432" s="1" t="s">
        <v>19</v>
      </c>
      <c r="D432" s="1" t="s">
        <v>667</v>
      </c>
      <c r="E432" s="1" t="s">
        <v>668</v>
      </c>
      <c r="F432" s="1" t="s">
        <v>125</v>
      </c>
      <c r="G432" s="1" t="s">
        <v>1269</v>
      </c>
      <c r="H432" s="1" t="s">
        <v>1270</v>
      </c>
      <c r="I432" s="1" t="s">
        <v>1271</v>
      </c>
      <c r="J432" s="1" t="s">
        <v>672</v>
      </c>
      <c r="K432" s="1">
        <v>2023</v>
      </c>
      <c r="L432" s="1">
        <v>10</v>
      </c>
      <c r="M432" s="1" t="s">
        <v>673</v>
      </c>
      <c r="N432" s="1" t="s">
        <v>28</v>
      </c>
      <c r="O432" s="1" t="s">
        <v>131</v>
      </c>
      <c r="P432" s="1" t="s">
        <v>1272</v>
      </c>
      <c r="Q432" s="1" t="s">
        <v>1273</v>
      </c>
    </row>
    <row r="433" spans="1:17" ht="15.75" customHeight="1" x14ac:dyDescent="0.25">
      <c r="A433" s="1" t="s">
        <v>266</v>
      </c>
      <c r="B433" s="1" t="s">
        <v>18</v>
      </c>
      <c r="C433" s="1" t="s">
        <v>19</v>
      </c>
      <c r="D433" s="1" t="s">
        <v>20</v>
      </c>
      <c r="E433" s="1" t="s">
        <v>21</v>
      </c>
      <c r="F433" s="1" t="s">
        <v>22</v>
      </c>
      <c r="G433" s="1" t="s">
        <v>267</v>
      </c>
      <c r="H433" s="1" t="s">
        <v>268</v>
      </c>
      <c r="I433" s="1" t="s">
        <v>269</v>
      </c>
      <c r="J433" s="1" t="s">
        <v>26</v>
      </c>
      <c r="K433" s="1">
        <v>2023</v>
      </c>
      <c r="L433" s="1">
        <v>2</v>
      </c>
      <c r="M433" s="1" t="s">
        <v>27</v>
      </c>
      <c r="N433" s="1" t="s">
        <v>28</v>
      </c>
      <c r="O433" s="1" t="s">
        <v>29</v>
      </c>
      <c r="P433" s="1" t="s">
        <v>270</v>
      </c>
      <c r="Q433" s="1" t="s">
        <v>1274</v>
      </c>
    </row>
    <row r="434" spans="1:17" ht="15.75" customHeight="1" x14ac:dyDescent="0.25">
      <c r="A434" s="1" t="s">
        <v>1275</v>
      </c>
      <c r="B434" s="1" t="s">
        <v>18</v>
      </c>
      <c r="C434" s="1" t="s">
        <v>19</v>
      </c>
      <c r="D434" s="1" t="s">
        <v>20</v>
      </c>
      <c r="E434" s="1" t="s">
        <v>21</v>
      </c>
      <c r="F434" s="1" t="s">
        <v>22</v>
      </c>
      <c r="G434" s="1" t="s">
        <v>682</v>
      </c>
      <c r="H434" s="1" t="s">
        <v>1276</v>
      </c>
      <c r="I434" s="1" t="s">
        <v>1277</v>
      </c>
      <c r="J434" s="1" t="s">
        <v>26</v>
      </c>
      <c r="K434" s="1">
        <v>2023</v>
      </c>
      <c r="L434" s="1">
        <v>2</v>
      </c>
      <c r="M434" s="1" t="s">
        <v>27</v>
      </c>
      <c r="N434" s="1" t="s">
        <v>28</v>
      </c>
      <c r="O434" s="1" t="s">
        <v>29</v>
      </c>
      <c r="P434" s="1" t="s">
        <v>685</v>
      </c>
      <c r="Q434" s="1" t="s">
        <v>1278</v>
      </c>
    </row>
    <row r="435" spans="1:17" ht="15.75" customHeight="1" x14ac:dyDescent="0.25">
      <c r="A435" s="1" t="s">
        <v>411</v>
      </c>
      <c r="B435" s="1" t="s">
        <v>18</v>
      </c>
      <c r="C435" s="1" t="s">
        <v>19</v>
      </c>
      <c r="D435" s="1" t="s">
        <v>20</v>
      </c>
      <c r="E435" s="1" t="s">
        <v>86</v>
      </c>
      <c r="F435" s="1" t="s">
        <v>22</v>
      </c>
      <c r="G435" s="1" t="s">
        <v>223</v>
      </c>
      <c r="H435" s="1" t="s">
        <v>423</v>
      </c>
      <c r="I435" s="1" t="s">
        <v>424</v>
      </c>
      <c r="J435" s="1" t="s">
        <v>26</v>
      </c>
      <c r="K435" s="1">
        <v>2023</v>
      </c>
      <c r="L435" s="1">
        <v>3</v>
      </c>
      <c r="M435" s="1" t="s">
        <v>89</v>
      </c>
      <c r="N435" s="1" t="s">
        <v>28</v>
      </c>
      <c r="O435" s="1" t="s">
        <v>29</v>
      </c>
      <c r="P435" s="1" t="s">
        <v>226</v>
      </c>
      <c r="Q435" s="1" t="s">
        <v>1279</v>
      </c>
    </row>
    <row r="436" spans="1:17" ht="15.75" customHeight="1" x14ac:dyDescent="0.25">
      <c r="A436" s="1" t="s">
        <v>228</v>
      </c>
      <c r="B436" s="1" t="s">
        <v>18</v>
      </c>
      <c r="C436" s="1" t="s">
        <v>19</v>
      </c>
      <c r="D436" s="1" t="s">
        <v>20</v>
      </c>
      <c r="E436" s="1" t="s">
        <v>86</v>
      </c>
      <c r="F436" s="1" t="s">
        <v>22</v>
      </c>
      <c r="G436" s="1" t="s">
        <v>223</v>
      </c>
      <c r="H436" s="1" t="s">
        <v>258</v>
      </c>
      <c r="I436" s="1" t="s">
        <v>259</v>
      </c>
      <c r="J436" s="1" t="s">
        <v>26</v>
      </c>
      <c r="K436" s="1">
        <v>2023</v>
      </c>
      <c r="L436" s="1">
        <v>3</v>
      </c>
      <c r="M436" s="1" t="s">
        <v>89</v>
      </c>
      <c r="N436" s="1" t="s">
        <v>28</v>
      </c>
      <c r="O436" s="1" t="s">
        <v>29</v>
      </c>
      <c r="P436" s="1" t="s">
        <v>226</v>
      </c>
      <c r="Q436" s="1" t="s">
        <v>1280</v>
      </c>
    </row>
    <row r="437" spans="1:17" ht="15.75" customHeight="1" x14ac:dyDescent="0.25">
      <c r="A437" s="1" t="s">
        <v>179</v>
      </c>
      <c r="B437" s="1" t="s">
        <v>18</v>
      </c>
      <c r="C437" s="1" t="s">
        <v>19</v>
      </c>
      <c r="D437" s="1" t="s">
        <v>20</v>
      </c>
      <c r="E437" s="1" t="s">
        <v>86</v>
      </c>
      <c r="F437" s="1" t="s">
        <v>22</v>
      </c>
      <c r="G437" s="1" t="s">
        <v>180</v>
      </c>
      <c r="H437" s="1" t="s">
        <v>181</v>
      </c>
      <c r="I437" s="1" t="s">
        <v>182</v>
      </c>
      <c r="J437" s="1" t="s">
        <v>26</v>
      </c>
      <c r="K437" s="1">
        <v>2023</v>
      </c>
      <c r="L437" s="1">
        <v>3</v>
      </c>
      <c r="M437" s="1" t="s">
        <v>89</v>
      </c>
      <c r="N437" s="1" t="s">
        <v>28</v>
      </c>
      <c r="O437" s="1" t="s">
        <v>29</v>
      </c>
      <c r="P437" s="1" t="s">
        <v>183</v>
      </c>
      <c r="Q437" s="1" t="s">
        <v>1281</v>
      </c>
    </row>
    <row r="438" spans="1:17" ht="15.75" customHeight="1" x14ac:dyDescent="0.25">
      <c r="A438" s="1" t="s">
        <v>1106</v>
      </c>
      <c r="B438" s="1" t="s">
        <v>18</v>
      </c>
      <c r="C438" s="1" t="s">
        <v>19</v>
      </c>
      <c r="D438" s="1" t="s">
        <v>20</v>
      </c>
      <c r="E438" s="1" t="s">
        <v>21</v>
      </c>
      <c r="F438" s="1" t="s">
        <v>22</v>
      </c>
      <c r="G438" s="1" t="s">
        <v>1107</v>
      </c>
      <c r="H438" s="1" t="s">
        <v>1108</v>
      </c>
      <c r="I438" s="1" t="s">
        <v>1109</v>
      </c>
      <c r="J438" s="1" t="s">
        <v>26</v>
      </c>
      <c r="K438" s="1">
        <v>2023</v>
      </c>
      <c r="L438" s="1">
        <v>3</v>
      </c>
      <c r="M438" s="1" t="s">
        <v>27</v>
      </c>
      <c r="N438" s="1" t="s">
        <v>28</v>
      </c>
      <c r="O438" s="1" t="s">
        <v>29</v>
      </c>
      <c r="P438" s="1" t="s">
        <v>1110</v>
      </c>
      <c r="Q438" s="1" t="s">
        <v>1282</v>
      </c>
    </row>
    <row r="439" spans="1:17" ht="15.75" customHeight="1" x14ac:dyDescent="0.25">
      <c r="A439" s="1" t="s">
        <v>200</v>
      </c>
      <c r="B439" s="1" t="s">
        <v>18</v>
      </c>
      <c r="C439" s="1" t="s">
        <v>19</v>
      </c>
      <c r="D439" s="1" t="s">
        <v>20</v>
      </c>
      <c r="E439" s="1" t="s">
        <v>21</v>
      </c>
      <c r="F439" s="1" t="s">
        <v>22</v>
      </c>
      <c r="G439" s="1" t="s">
        <v>201</v>
      </c>
      <c r="H439" s="1" t="s">
        <v>202</v>
      </c>
      <c r="I439" s="1" t="s">
        <v>203</v>
      </c>
      <c r="J439" s="1" t="s">
        <v>26</v>
      </c>
      <c r="K439" s="1">
        <v>2023</v>
      </c>
      <c r="L439" s="1">
        <v>3</v>
      </c>
      <c r="M439" s="1" t="s">
        <v>27</v>
      </c>
      <c r="N439" s="1" t="s">
        <v>28</v>
      </c>
      <c r="O439" s="1" t="s">
        <v>29</v>
      </c>
      <c r="P439" s="1" t="s">
        <v>204</v>
      </c>
      <c r="Q439" s="1" t="s">
        <v>1283</v>
      </c>
    </row>
    <row r="440" spans="1:17" ht="15.75" customHeight="1" x14ac:dyDescent="0.25">
      <c r="A440" s="1" t="s">
        <v>375</v>
      </c>
      <c r="B440" s="1" t="s">
        <v>18</v>
      </c>
      <c r="C440" s="1" t="s">
        <v>19</v>
      </c>
      <c r="D440" s="1" t="s">
        <v>20</v>
      </c>
      <c r="E440" s="1" t="s">
        <v>21</v>
      </c>
      <c r="F440" s="1" t="s">
        <v>22</v>
      </c>
      <c r="G440" s="1" t="s">
        <v>201</v>
      </c>
      <c r="H440" s="1" t="s">
        <v>476</v>
      </c>
      <c r="I440" s="1" t="s">
        <v>477</v>
      </c>
      <c r="J440" s="1" t="s">
        <v>26</v>
      </c>
      <c r="K440" s="1">
        <v>2023</v>
      </c>
      <c r="L440" s="1">
        <v>3</v>
      </c>
      <c r="M440" s="1" t="s">
        <v>27</v>
      </c>
      <c r="N440" s="1" t="s">
        <v>28</v>
      </c>
      <c r="O440" s="1" t="s">
        <v>29</v>
      </c>
      <c r="P440" s="1" t="s">
        <v>204</v>
      </c>
      <c r="Q440" s="1" t="s">
        <v>1284</v>
      </c>
    </row>
    <row r="441" spans="1:17" ht="15.75" customHeight="1" x14ac:dyDescent="0.25">
      <c r="A441" s="1" t="s">
        <v>235</v>
      </c>
      <c r="B441" s="1" t="s">
        <v>18</v>
      </c>
      <c r="C441" s="1" t="s">
        <v>19</v>
      </c>
      <c r="D441" s="1" t="s">
        <v>20</v>
      </c>
      <c r="E441" s="1" t="s">
        <v>21</v>
      </c>
      <c r="F441" s="1" t="s">
        <v>22</v>
      </c>
      <c r="G441" s="1" t="s">
        <v>75</v>
      </c>
      <c r="H441" s="1" t="s">
        <v>236</v>
      </c>
      <c r="I441" s="1" t="s">
        <v>237</v>
      </c>
      <c r="J441" s="1" t="s">
        <v>26</v>
      </c>
      <c r="K441" s="1">
        <v>2023</v>
      </c>
      <c r="L441" s="1">
        <v>3</v>
      </c>
      <c r="M441" s="1" t="s">
        <v>27</v>
      </c>
      <c r="N441" s="1" t="s">
        <v>28</v>
      </c>
      <c r="O441" s="1" t="s">
        <v>29</v>
      </c>
      <c r="P441" s="1" t="s">
        <v>78</v>
      </c>
      <c r="Q441" s="1" t="s">
        <v>1285</v>
      </c>
    </row>
    <row r="442" spans="1:17" ht="15.75" customHeight="1" x14ac:dyDescent="0.25">
      <c r="A442" s="1" t="s">
        <v>212</v>
      </c>
      <c r="B442" s="1" t="s">
        <v>18</v>
      </c>
      <c r="C442" s="1" t="s">
        <v>19</v>
      </c>
      <c r="D442" s="1" t="s">
        <v>20</v>
      </c>
      <c r="E442" s="1" t="s">
        <v>21</v>
      </c>
      <c r="F442" s="1" t="s">
        <v>22</v>
      </c>
      <c r="G442" s="1" t="s">
        <v>516</v>
      </c>
      <c r="H442" s="1" t="s">
        <v>517</v>
      </c>
      <c r="I442" s="1" t="s">
        <v>518</v>
      </c>
      <c r="J442" s="1" t="s">
        <v>26</v>
      </c>
      <c r="K442" s="1">
        <v>2023</v>
      </c>
      <c r="L442" s="1">
        <v>3</v>
      </c>
      <c r="M442" s="1" t="s">
        <v>27</v>
      </c>
      <c r="N442" s="1" t="s">
        <v>28</v>
      </c>
      <c r="O442" s="1" t="s">
        <v>29</v>
      </c>
      <c r="P442" s="1" t="s">
        <v>519</v>
      </c>
      <c r="Q442" s="1" t="s">
        <v>1286</v>
      </c>
    </row>
    <row r="443" spans="1:17" ht="15.75" customHeight="1" x14ac:dyDescent="0.25">
      <c r="A443" s="1" t="s">
        <v>151</v>
      </c>
      <c r="B443" s="1" t="s">
        <v>18</v>
      </c>
      <c r="C443" s="1" t="s">
        <v>19</v>
      </c>
      <c r="D443" s="1" t="s">
        <v>20</v>
      </c>
      <c r="E443" s="1" t="s">
        <v>21</v>
      </c>
      <c r="F443" s="1" t="s">
        <v>22</v>
      </c>
      <c r="G443" s="1" t="s">
        <v>152</v>
      </c>
      <c r="H443" s="1" t="s">
        <v>1287</v>
      </c>
      <c r="I443" s="1" t="s">
        <v>1288</v>
      </c>
      <c r="J443" s="1" t="s">
        <v>26</v>
      </c>
      <c r="K443" s="1">
        <v>2023</v>
      </c>
      <c r="L443" s="1">
        <v>3</v>
      </c>
      <c r="M443" s="1" t="s">
        <v>27</v>
      </c>
      <c r="N443" s="1" t="s">
        <v>28</v>
      </c>
      <c r="O443" s="1" t="s">
        <v>29</v>
      </c>
      <c r="P443" s="1" t="s">
        <v>155</v>
      </c>
      <c r="Q443" s="1" t="s">
        <v>1289</v>
      </c>
    </row>
    <row r="444" spans="1:17" ht="15.75" customHeight="1" x14ac:dyDescent="0.25">
      <c r="A444" s="1" t="s">
        <v>252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22</v>
      </c>
      <c r="G444" s="1" t="s">
        <v>253</v>
      </c>
      <c r="H444" s="1" t="s">
        <v>254</v>
      </c>
      <c r="I444" s="1" t="s">
        <v>255</v>
      </c>
      <c r="J444" s="1" t="s">
        <v>26</v>
      </c>
      <c r="K444" s="1">
        <v>2023</v>
      </c>
      <c r="L444" s="1">
        <v>3</v>
      </c>
      <c r="M444" s="1" t="s">
        <v>27</v>
      </c>
      <c r="N444" s="1" t="s">
        <v>28</v>
      </c>
      <c r="O444" s="1" t="s">
        <v>29</v>
      </c>
      <c r="P444" s="1" t="s">
        <v>256</v>
      </c>
      <c r="Q444" s="1" t="s">
        <v>1290</v>
      </c>
    </row>
    <row r="445" spans="1:17" ht="15.75" customHeight="1" x14ac:dyDescent="0.25">
      <c r="A445" s="1" t="s">
        <v>329</v>
      </c>
      <c r="B445" s="1" t="s">
        <v>18</v>
      </c>
      <c r="C445" s="1" t="s">
        <v>19</v>
      </c>
      <c r="D445" s="1" t="s">
        <v>20</v>
      </c>
      <c r="E445" s="1" t="s">
        <v>86</v>
      </c>
      <c r="F445" s="1" t="s">
        <v>22</v>
      </c>
      <c r="G445" s="1" t="s">
        <v>501</v>
      </c>
      <c r="H445" s="1" t="s">
        <v>502</v>
      </c>
      <c r="I445" s="1" t="s">
        <v>503</v>
      </c>
      <c r="J445" s="1" t="s">
        <v>26</v>
      </c>
      <c r="K445" s="1">
        <v>2023</v>
      </c>
      <c r="L445" s="1">
        <v>4</v>
      </c>
      <c r="M445" s="1" t="s">
        <v>89</v>
      </c>
      <c r="N445" s="1" t="s">
        <v>28</v>
      </c>
      <c r="O445" s="1" t="s">
        <v>29</v>
      </c>
      <c r="P445" s="1" t="s">
        <v>504</v>
      </c>
      <c r="Q445" s="1" t="s">
        <v>1291</v>
      </c>
    </row>
    <row r="446" spans="1:17" ht="15.75" customHeight="1" x14ac:dyDescent="0.25">
      <c r="A446" s="1" t="s">
        <v>398</v>
      </c>
      <c r="B446" s="1" t="s">
        <v>18</v>
      </c>
      <c r="C446" s="1" t="s">
        <v>19</v>
      </c>
      <c r="D446" s="1" t="s">
        <v>20</v>
      </c>
      <c r="E446" s="1" t="s">
        <v>21</v>
      </c>
      <c r="F446" s="1" t="s">
        <v>22</v>
      </c>
      <c r="G446" s="1" t="s">
        <v>75</v>
      </c>
      <c r="H446" s="1" t="s">
        <v>399</v>
      </c>
      <c r="I446" s="1" t="s">
        <v>400</v>
      </c>
      <c r="J446" s="1" t="s">
        <v>26</v>
      </c>
      <c r="K446" s="1">
        <v>2023</v>
      </c>
      <c r="L446" s="1">
        <v>4</v>
      </c>
      <c r="M446" s="1" t="s">
        <v>27</v>
      </c>
      <c r="N446" s="1" t="s">
        <v>28</v>
      </c>
      <c r="O446" s="1" t="s">
        <v>29</v>
      </c>
      <c r="P446" s="1" t="s">
        <v>78</v>
      </c>
      <c r="Q446" s="1" t="s">
        <v>1292</v>
      </c>
    </row>
    <row r="447" spans="1:17" ht="15.75" customHeight="1" x14ac:dyDescent="0.25">
      <c r="A447" s="1" t="s">
        <v>54</v>
      </c>
      <c r="B447" s="1" t="s">
        <v>18</v>
      </c>
      <c r="C447" s="1" t="s">
        <v>19</v>
      </c>
      <c r="D447" s="1" t="s">
        <v>20</v>
      </c>
      <c r="E447" s="1" t="s">
        <v>21</v>
      </c>
      <c r="F447" s="1" t="s">
        <v>22</v>
      </c>
      <c r="G447" s="1" t="s">
        <v>39</v>
      </c>
      <c r="H447" s="1" t="s">
        <v>287</v>
      </c>
      <c r="I447" s="1" t="s">
        <v>288</v>
      </c>
      <c r="J447" s="1" t="s">
        <v>26</v>
      </c>
      <c r="K447" s="1">
        <v>2023</v>
      </c>
      <c r="L447" s="1">
        <v>4</v>
      </c>
      <c r="M447" s="1" t="s">
        <v>27</v>
      </c>
      <c r="N447" s="1" t="s">
        <v>28</v>
      </c>
      <c r="O447" s="1" t="s">
        <v>29</v>
      </c>
      <c r="P447" s="1" t="s">
        <v>42</v>
      </c>
      <c r="Q447" s="1" t="s">
        <v>1293</v>
      </c>
    </row>
    <row r="448" spans="1:17" ht="15.75" customHeight="1" x14ac:dyDescent="0.25">
      <c r="A448" s="1" t="s">
        <v>681</v>
      </c>
      <c r="B448" s="1" t="s">
        <v>18</v>
      </c>
      <c r="C448" s="1" t="s">
        <v>19</v>
      </c>
      <c r="D448" s="1" t="s">
        <v>20</v>
      </c>
      <c r="E448" s="1" t="s">
        <v>21</v>
      </c>
      <c r="F448" s="1" t="s">
        <v>22</v>
      </c>
      <c r="G448" s="1" t="s">
        <v>682</v>
      </c>
      <c r="H448" s="1" t="s">
        <v>683</v>
      </c>
      <c r="I448" s="1" t="s">
        <v>684</v>
      </c>
      <c r="J448" s="1" t="s">
        <v>26</v>
      </c>
      <c r="K448" s="1">
        <v>2023</v>
      </c>
      <c r="L448" s="1">
        <v>4</v>
      </c>
      <c r="M448" s="1" t="s">
        <v>27</v>
      </c>
      <c r="N448" s="1" t="s">
        <v>28</v>
      </c>
      <c r="O448" s="1" t="s">
        <v>29</v>
      </c>
      <c r="P448" s="1" t="s">
        <v>685</v>
      </c>
      <c r="Q448" s="1" t="s">
        <v>1294</v>
      </c>
    </row>
    <row r="449" spans="1:17" ht="15.75" customHeight="1" x14ac:dyDescent="0.25">
      <c r="A449" s="1" t="s">
        <v>509</v>
      </c>
      <c r="B449" s="1" t="s">
        <v>18</v>
      </c>
      <c r="C449" s="1" t="s">
        <v>19</v>
      </c>
      <c r="D449" s="1" t="s">
        <v>20</v>
      </c>
      <c r="E449" s="1" t="s">
        <v>21</v>
      </c>
      <c r="F449" s="1" t="s">
        <v>22</v>
      </c>
      <c r="G449" s="1" t="s">
        <v>152</v>
      </c>
      <c r="H449" s="1" t="s">
        <v>510</v>
      </c>
      <c r="I449" s="1" t="s">
        <v>511</v>
      </c>
      <c r="J449" s="1" t="s">
        <v>26</v>
      </c>
      <c r="K449" s="1">
        <v>2023</v>
      </c>
      <c r="L449" s="1">
        <v>4</v>
      </c>
      <c r="M449" s="1" t="s">
        <v>27</v>
      </c>
      <c r="N449" s="1" t="s">
        <v>28</v>
      </c>
      <c r="O449" s="1" t="s">
        <v>29</v>
      </c>
      <c r="P449" s="1" t="s">
        <v>155</v>
      </c>
      <c r="Q449" s="1" t="s">
        <v>1295</v>
      </c>
    </row>
    <row r="450" spans="1:17" ht="15.75" customHeight="1" x14ac:dyDescent="0.25">
      <c r="A450" s="1" t="s">
        <v>144</v>
      </c>
      <c r="B450" s="1" t="s">
        <v>18</v>
      </c>
      <c r="C450" s="1" t="s">
        <v>19</v>
      </c>
      <c r="D450" s="1" t="s">
        <v>20</v>
      </c>
      <c r="E450" s="1" t="s">
        <v>21</v>
      </c>
      <c r="F450" s="1" t="s">
        <v>22</v>
      </c>
      <c r="G450" s="1" t="s">
        <v>152</v>
      </c>
      <c r="H450" s="1" t="s">
        <v>193</v>
      </c>
      <c r="I450" s="1" t="s">
        <v>194</v>
      </c>
      <c r="J450" s="1" t="s">
        <v>26</v>
      </c>
      <c r="K450" s="1">
        <v>2023</v>
      </c>
      <c r="L450" s="1">
        <v>4</v>
      </c>
      <c r="M450" s="1" t="s">
        <v>27</v>
      </c>
      <c r="N450" s="1" t="s">
        <v>28</v>
      </c>
      <c r="O450" s="1" t="s">
        <v>29</v>
      </c>
      <c r="P450" s="1" t="s">
        <v>155</v>
      </c>
      <c r="Q450" s="1" t="s">
        <v>1296</v>
      </c>
    </row>
    <row r="451" spans="1:17" ht="15.75" customHeight="1" x14ac:dyDescent="0.25">
      <c r="A451" s="1" t="s">
        <v>54</v>
      </c>
      <c r="B451" s="1" t="s">
        <v>18</v>
      </c>
      <c r="C451" s="1" t="s">
        <v>19</v>
      </c>
      <c r="D451" s="1" t="s">
        <v>20</v>
      </c>
      <c r="E451" s="1" t="s">
        <v>21</v>
      </c>
      <c r="F451" s="1" t="s">
        <v>22</v>
      </c>
      <c r="G451" s="1" t="s">
        <v>55</v>
      </c>
      <c r="H451" s="1" t="s">
        <v>56</v>
      </c>
      <c r="I451" s="1" t="s">
        <v>57</v>
      </c>
      <c r="J451" s="1" t="s">
        <v>26</v>
      </c>
      <c r="K451" s="1">
        <v>2023</v>
      </c>
      <c r="L451" s="1">
        <v>4</v>
      </c>
      <c r="M451" s="1" t="s">
        <v>27</v>
      </c>
      <c r="N451" s="1" t="s">
        <v>28</v>
      </c>
      <c r="O451" s="1" t="s">
        <v>29</v>
      </c>
      <c r="P451" s="1" t="s">
        <v>58</v>
      </c>
      <c r="Q451" s="1" t="s">
        <v>1297</v>
      </c>
    </row>
    <row r="452" spans="1:17" ht="15.75" customHeight="1" x14ac:dyDescent="0.25">
      <c r="A452" s="1" t="s">
        <v>1298</v>
      </c>
      <c r="B452" s="1" t="s">
        <v>18</v>
      </c>
      <c r="C452" s="1" t="s">
        <v>19</v>
      </c>
      <c r="D452" s="1" t="s">
        <v>20</v>
      </c>
      <c r="E452" s="1" t="s">
        <v>21</v>
      </c>
      <c r="F452" s="1" t="s">
        <v>22</v>
      </c>
      <c r="G452" s="1" t="s">
        <v>33</v>
      </c>
      <c r="H452" s="1" t="s">
        <v>34</v>
      </c>
      <c r="I452" s="1" t="s">
        <v>35</v>
      </c>
      <c r="J452" s="1" t="s">
        <v>64</v>
      </c>
      <c r="K452" s="1">
        <v>2023</v>
      </c>
      <c r="L452" s="1">
        <v>5</v>
      </c>
      <c r="M452" s="1" t="s">
        <v>27</v>
      </c>
      <c r="N452" s="1" t="s">
        <v>28</v>
      </c>
      <c r="O452" s="1" t="s">
        <v>29</v>
      </c>
      <c r="P452" s="1" t="s">
        <v>36</v>
      </c>
      <c r="Q452" s="1" t="s">
        <v>1299</v>
      </c>
    </row>
    <row r="453" spans="1:17" ht="15.75" customHeight="1" x14ac:dyDescent="0.25">
      <c r="A453" s="1" t="s">
        <v>1300</v>
      </c>
      <c r="B453" s="1" t="s">
        <v>18</v>
      </c>
      <c r="C453" s="1" t="s">
        <v>19</v>
      </c>
      <c r="D453" s="1" t="s">
        <v>20</v>
      </c>
      <c r="E453" s="1" t="s">
        <v>21</v>
      </c>
      <c r="F453" s="1" t="s">
        <v>22</v>
      </c>
      <c r="G453" s="1" t="s">
        <v>61</v>
      </c>
      <c r="H453" s="1" t="s">
        <v>330</v>
      </c>
      <c r="I453" s="1" t="s">
        <v>331</v>
      </c>
      <c r="J453" s="1" t="s">
        <v>64</v>
      </c>
      <c r="K453" s="1">
        <v>2023</v>
      </c>
      <c r="L453" s="1">
        <v>5</v>
      </c>
      <c r="M453" s="1" t="s">
        <v>27</v>
      </c>
      <c r="N453" s="1" t="s">
        <v>28</v>
      </c>
      <c r="O453" s="1" t="s">
        <v>29</v>
      </c>
      <c r="P453" s="1" t="s">
        <v>65</v>
      </c>
      <c r="Q453" s="1" t="s">
        <v>1301</v>
      </c>
    </row>
    <row r="454" spans="1:17" ht="15.75" customHeight="1" x14ac:dyDescent="0.25">
      <c r="A454" s="1" t="s">
        <v>357</v>
      </c>
      <c r="B454" s="1" t="s">
        <v>18</v>
      </c>
      <c r="C454" s="1" t="s">
        <v>19</v>
      </c>
      <c r="D454" s="1" t="s">
        <v>20</v>
      </c>
      <c r="E454" s="1" t="s">
        <v>21</v>
      </c>
      <c r="F454" s="1" t="s">
        <v>22</v>
      </c>
      <c r="G454" s="1" t="s">
        <v>1302</v>
      </c>
      <c r="H454" s="1" t="s">
        <v>1303</v>
      </c>
      <c r="I454" s="1" t="s">
        <v>1304</v>
      </c>
      <c r="J454" s="1" t="s">
        <v>26</v>
      </c>
      <c r="K454" s="1">
        <v>2023</v>
      </c>
      <c r="L454" s="1">
        <v>5</v>
      </c>
      <c r="M454" s="1" t="s">
        <v>27</v>
      </c>
      <c r="N454" s="1" t="s">
        <v>28</v>
      </c>
      <c r="O454" s="1" t="s">
        <v>29</v>
      </c>
      <c r="P454" s="1" t="s">
        <v>1305</v>
      </c>
      <c r="Q454" s="1" t="s">
        <v>1306</v>
      </c>
    </row>
    <row r="455" spans="1:17" ht="15.75" customHeight="1" x14ac:dyDescent="0.25">
      <c r="A455" s="1" t="s">
        <v>1307</v>
      </c>
      <c r="B455" s="1" t="s">
        <v>18</v>
      </c>
      <c r="C455" s="1" t="s">
        <v>19</v>
      </c>
      <c r="D455" s="1" t="s">
        <v>123</v>
      </c>
      <c r="E455" s="1" t="s">
        <v>124</v>
      </c>
      <c r="F455" s="1" t="s">
        <v>125</v>
      </c>
      <c r="G455" s="1" t="s">
        <v>135</v>
      </c>
      <c r="H455" s="1" t="s">
        <v>354</v>
      </c>
      <c r="I455" s="1" t="s">
        <v>355</v>
      </c>
      <c r="J455" s="1" t="s">
        <v>347</v>
      </c>
      <c r="K455" s="1">
        <v>2025</v>
      </c>
      <c r="L455" s="1">
        <v>8</v>
      </c>
      <c r="M455" s="1" t="s">
        <v>130</v>
      </c>
      <c r="N455" s="1" t="s">
        <v>28</v>
      </c>
      <c r="O455" s="1" t="s">
        <v>131</v>
      </c>
      <c r="P455" s="1" t="s">
        <v>138</v>
      </c>
      <c r="Q455" s="1" t="s">
        <v>1308</v>
      </c>
    </row>
    <row r="456" spans="1:17" ht="15.75" customHeight="1" x14ac:dyDescent="0.25">
      <c r="A456" s="1" t="s">
        <v>38</v>
      </c>
      <c r="B456" s="1" t="s">
        <v>18</v>
      </c>
      <c r="C456" s="1" t="s">
        <v>19</v>
      </c>
      <c r="D456" s="1" t="s">
        <v>20</v>
      </c>
      <c r="E456" s="1" t="s">
        <v>21</v>
      </c>
      <c r="F456" s="1" t="s">
        <v>22</v>
      </c>
      <c r="G456" s="1" t="s">
        <v>39</v>
      </c>
      <c r="H456" s="1" t="s">
        <v>493</v>
      </c>
      <c r="I456" s="1" t="s">
        <v>494</v>
      </c>
      <c r="J456" s="1" t="s">
        <v>26</v>
      </c>
      <c r="K456" s="1">
        <v>2023</v>
      </c>
      <c r="L456" s="1">
        <v>5</v>
      </c>
      <c r="M456" s="1" t="s">
        <v>27</v>
      </c>
      <c r="N456" s="1" t="s">
        <v>28</v>
      </c>
      <c r="O456" s="1" t="s">
        <v>29</v>
      </c>
      <c r="P456" s="1" t="s">
        <v>42</v>
      </c>
      <c r="Q456" s="1" t="s">
        <v>1309</v>
      </c>
    </row>
    <row r="457" spans="1:17" ht="15.75" customHeight="1" x14ac:dyDescent="0.25">
      <c r="A457" s="1" t="s">
        <v>54</v>
      </c>
      <c r="B457" s="1" t="s">
        <v>18</v>
      </c>
      <c r="C457" s="1" t="s">
        <v>19</v>
      </c>
      <c r="D457" s="1" t="s">
        <v>20</v>
      </c>
      <c r="E457" s="1" t="s">
        <v>21</v>
      </c>
      <c r="F457" s="1" t="s">
        <v>22</v>
      </c>
      <c r="G457" s="1" t="s">
        <v>39</v>
      </c>
      <c r="H457" s="1" t="s">
        <v>636</v>
      </c>
      <c r="I457" s="1" t="s">
        <v>637</v>
      </c>
      <c r="J457" s="1" t="s">
        <v>26</v>
      </c>
      <c r="K457" s="1">
        <v>2023</v>
      </c>
      <c r="L457" s="1">
        <v>5</v>
      </c>
      <c r="M457" s="1" t="s">
        <v>27</v>
      </c>
      <c r="N457" s="1" t="s">
        <v>28</v>
      </c>
      <c r="O457" s="1" t="s">
        <v>29</v>
      </c>
      <c r="P457" s="1" t="s">
        <v>42</v>
      </c>
      <c r="Q457" s="1" t="s">
        <v>1310</v>
      </c>
    </row>
    <row r="458" spans="1:17" ht="15.75" customHeight="1" x14ac:dyDescent="0.25">
      <c r="A458" s="1" t="s">
        <v>488</v>
      </c>
      <c r="B458" s="1" t="s">
        <v>18</v>
      </c>
      <c r="C458" s="1" t="s">
        <v>19</v>
      </c>
      <c r="D458" s="1" t="s">
        <v>20</v>
      </c>
      <c r="E458" s="1" t="s">
        <v>86</v>
      </c>
      <c r="F458" s="1" t="s">
        <v>22</v>
      </c>
      <c r="G458" s="1" t="s">
        <v>298</v>
      </c>
      <c r="H458" s="1" t="s">
        <v>489</v>
      </c>
      <c r="I458" s="1" t="s">
        <v>490</v>
      </c>
      <c r="J458" s="1" t="s">
        <v>26</v>
      </c>
      <c r="K458" s="1">
        <v>2023</v>
      </c>
      <c r="L458" s="1">
        <v>6</v>
      </c>
      <c r="M458" s="1" t="s">
        <v>89</v>
      </c>
      <c r="N458" s="1" t="s">
        <v>28</v>
      </c>
      <c r="O458" s="1" t="s">
        <v>29</v>
      </c>
      <c r="P458" s="1" t="s">
        <v>301</v>
      </c>
      <c r="Q458" s="1" t="s">
        <v>1311</v>
      </c>
    </row>
    <row r="459" spans="1:17" ht="15.75" customHeight="1" x14ac:dyDescent="0.25">
      <c r="A459" s="1" t="s">
        <v>349</v>
      </c>
      <c r="B459" s="1" t="s">
        <v>18</v>
      </c>
      <c r="C459" s="1" t="s">
        <v>19</v>
      </c>
      <c r="D459" s="1" t="s">
        <v>20</v>
      </c>
      <c r="E459" s="1" t="s">
        <v>21</v>
      </c>
      <c r="F459" s="1" t="s">
        <v>22</v>
      </c>
      <c r="G459" s="1" t="s">
        <v>152</v>
      </c>
      <c r="H459" s="1" t="s">
        <v>436</v>
      </c>
      <c r="I459" s="1" t="s">
        <v>437</v>
      </c>
      <c r="J459" s="1" t="s">
        <v>26</v>
      </c>
      <c r="K459" s="1">
        <v>2023</v>
      </c>
      <c r="L459" s="1">
        <v>6</v>
      </c>
      <c r="M459" s="1" t="s">
        <v>27</v>
      </c>
      <c r="N459" s="1" t="s">
        <v>28</v>
      </c>
      <c r="O459" s="1" t="s">
        <v>29</v>
      </c>
      <c r="P459" s="1" t="s">
        <v>155</v>
      </c>
      <c r="Q459" s="1" t="s">
        <v>1312</v>
      </c>
    </row>
    <row r="460" spans="1:17" ht="15.75" customHeight="1" x14ac:dyDescent="0.25">
      <c r="A460" s="1" t="s">
        <v>509</v>
      </c>
      <c r="B460" s="1" t="s">
        <v>18</v>
      </c>
      <c r="C460" s="1" t="s">
        <v>19</v>
      </c>
      <c r="D460" s="1" t="s">
        <v>20</v>
      </c>
      <c r="E460" s="1" t="s">
        <v>21</v>
      </c>
      <c r="F460" s="1" t="s">
        <v>22</v>
      </c>
      <c r="G460" s="1" t="s">
        <v>152</v>
      </c>
      <c r="H460" s="1" t="s">
        <v>1190</v>
      </c>
      <c r="I460" s="1" t="s">
        <v>1191</v>
      </c>
      <c r="J460" s="1" t="s">
        <v>26</v>
      </c>
      <c r="K460" s="1">
        <v>2023</v>
      </c>
      <c r="L460" s="1">
        <v>6</v>
      </c>
      <c r="M460" s="1" t="s">
        <v>27</v>
      </c>
      <c r="N460" s="1" t="s">
        <v>28</v>
      </c>
      <c r="O460" s="1" t="s">
        <v>29</v>
      </c>
      <c r="P460" s="1" t="s">
        <v>155</v>
      </c>
      <c r="Q460" s="1" t="s">
        <v>1313</v>
      </c>
    </row>
    <row r="461" spans="1:17" ht="15.75" customHeight="1" x14ac:dyDescent="0.25">
      <c r="A461" s="1" t="s">
        <v>67</v>
      </c>
      <c r="B461" s="1" t="s">
        <v>18</v>
      </c>
      <c r="C461" s="1" t="s">
        <v>19</v>
      </c>
      <c r="D461" s="1" t="s">
        <v>20</v>
      </c>
      <c r="E461" s="1" t="s">
        <v>21</v>
      </c>
      <c r="F461" s="1" t="s">
        <v>22</v>
      </c>
      <c r="G461" s="1" t="s">
        <v>382</v>
      </c>
      <c r="H461" s="1" t="s">
        <v>383</v>
      </c>
      <c r="I461" s="1" t="s">
        <v>384</v>
      </c>
      <c r="J461" s="1" t="s">
        <v>26</v>
      </c>
      <c r="K461" s="1">
        <v>2023</v>
      </c>
      <c r="L461" s="1">
        <v>6</v>
      </c>
      <c r="M461" s="1" t="s">
        <v>27</v>
      </c>
      <c r="N461" s="1" t="s">
        <v>28</v>
      </c>
      <c r="O461" s="1" t="s">
        <v>29</v>
      </c>
      <c r="P461" s="1" t="s">
        <v>385</v>
      </c>
      <c r="Q461" s="1" t="s">
        <v>1314</v>
      </c>
    </row>
    <row r="462" spans="1:17" ht="15.75" customHeight="1" x14ac:dyDescent="0.25">
      <c r="A462" s="1" t="s">
        <v>48</v>
      </c>
      <c r="B462" s="1" t="s">
        <v>18</v>
      </c>
      <c r="C462" s="1" t="s">
        <v>19</v>
      </c>
      <c r="D462" s="1" t="s">
        <v>20</v>
      </c>
      <c r="E462" s="1" t="s">
        <v>21</v>
      </c>
      <c r="F462" s="1" t="s">
        <v>22</v>
      </c>
      <c r="G462" s="1" t="s">
        <v>49</v>
      </c>
      <c r="H462" s="1" t="s">
        <v>387</v>
      </c>
      <c r="I462" s="1" t="s">
        <v>388</v>
      </c>
      <c r="J462" s="1" t="s">
        <v>26</v>
      </c>
      <c r="K462" s="1">
        <v>2023</v>
      </c>
      <c r="L462" s="1">
        <v>6</v>
      </c>
      <c r="M462" s="1" t="s">
        <v>27</v>
      </c>
      <c r="N462" s="1" t="s">
        <v>28</v>
      </c>
      <c r="O462" s="1" t="s">
        <v>29</v>
      </c>
      <c r="P462" s="1" t="s">
        <v>52</v>
      </c>
      <c r="Q462" s="1" t="s">
        <v>1315</v>
      </c>
    </row>
    <row r="463" spans="1:17" ht="15.75" customHeight="1" x14ac:dyDescent="0.25">
      <c r="A463" s="1" t="s">
        <v>329</v>
      </c>
      <c r="B463" s="1" t="s">
        <v>18</v>
      </c>
      <c r="C463" s="1" t="s">
        <v>19</v>
      </c>
      <c r="D463" s="1" t="s">
        <v>20</v>
      </c>
      <c r="E463" s="1" t="s">
        <v>86</v>
      </c>
      <c r="F463" s="1" t="s">
        <v>22</v>
      </c>
      <c r="G463" s="1" t="s">
        <v>501</v>
      </c>
      <c r="H463" s="1" t="s">
        <v>502</v>
      </c>
      <c r="I463" s="1" t="s">
        <v>503</v>
      </c>
      <c r="J463" s="1" t="s">
        <v>26</v>
      </c>
      <c r="K463" s="1">
        <v>2023</v>
      </c>
      <c r="L463" s="1">
        <v>7</v>
      </c>
      <c r="M463" s="1" t="s">
        <v>89</v>
      </c>
      <c r="N463" s="1" t="s">
        <v>28</v>
      </c>
      <c r="O463" s="1" t="s">
        <v>29</v>
      </c>
      <c r="P463" s="1" t="s">
        <v>504</v>
      </c>
      <c r="Q463" s="1" t="s">
        <v>1316</v>
      </c>
    </row>
    <row r="464" spans="1:17" ht="15.75" customHeight="1" x14ac:dyDescent="0.25">
      <c r="A464" s="1" t="s">
        <v>85</v>
      </c>
      <c r="B464" s="1" t="s">
        <v>18</v>
      </c>
      <c r="C464" s="1" t="s">
        <v>19</v>
      </c>
      <c r="D464" s="1" t="s">
        <v>20</v>
      </c>
      <c r="E464" s="1" t="s">
        <v>21</v>
      </c>
      <c r="F464" s="1" t="s">
        <v>22</v>
      </c>
      <c r="G464" s="1" t="s">
        <v>61</v>
      </c>
      <c r="H464" s="1" t="s">
        <v>62</v>
      </c>
      <c r="I464" s="1" t="s">
        <v>63</v>
      </c>
      <c r="J464" s="1" t="s">
        <v>26</v>
      </c>
      <c r="K464" s="1">
        <v>2023</v>
      </c>
      <c r="L464" s="1">
        <v>7</v>
      </c>
      <c r="M464" s="1" t="s">
        <v>27</v>
      </c>
      <c r="N464" s="1" t="s">
        <v>28</v>
      </c>
      <c r="O464" s="1" t="s">
        <v>29</v>
      </c>
      <c r="P464" s="1" t="s">
        <v>65</v>
      </c>
      <c r="Q464" s="1" t="s">
        <v>1317</v>
      </c>
    </row>
    <row r="465" spans="1:17" ht="15.75" customHeight="1" x14ac:dyDescent="0.25">
      <c r="A465" s="1" t="s">
        <v>103</v>
      </c>
      <c r="B465" s="1" t="s">
        <v>18</v>
      </c>
      <c r="C465" s="1" t="s">
        <v>19</v>
      </c>
      <c r="D465" s="1" t="s">
        <v>20</v>
      </c>
      <c r="E465" s="1" t="s">
        <v>21</v>
      </c>
      <c r="F465" s="1" t="s">
        <v>22</v>
      </c>
      <c r="G465" s="1" t="s">
        <v>104</v>
      </c>
      <c r="H465" s="1" t="s">
        <v>105</v>
      </c>
      <c r="I465" s="1" t="s">
        <v>106</v>
      </c>
      <c r="J465" s="1" t="s">
        <v>26</v>
      </c>
      <c r="K465" s="1">
        <v>2023</v>
      </c>
      <c r="L465" s="1">
        <v>7</v>
      </c>
      <c r="M465" s="1" t="s">
        <v>27</v>
      </c>
      <c r="N465" s="1" t="s">
        <v>28</v>
      </c>
      <c r="O465" s="1" t="s">
        <v>29</v>
      </c>
      <c r="P465" s="1" t="s">
        <v>107</v>
      </c>
      <c r="Q465" s="1" t="s">
        <v>1318</v>
      </c>
    </row>
    <row r="466" spans="1:17" ht="15.75" customHeight="1" x14ac:dyDescent="0.25">
      <c r="A466" s="1" t="s">
        <v>405</v>
      </c>
      <c r="B466" s="1" t="s">
        <v>18</v>
      </c>
      <c r="C466" s="1" t="s">
        <v>19</v>
      </c>
      <c r="D466" s="1" t="s">
        <v>20</v>
      </c>
      <c r="E466" s="1" t="s">
        <v>21</v>
      </c>
      <c r="F466" s="1" t="s">
        <v>22</v>
      </c>
      <c r="G466" s="1" t="s">
        <v>104</v>
      </c>
      <c r="H466" s="1" t="s">
        <v>406</v>
      </c>
      <c r="I466" s="1" t="s">
        <v>407</v>
      </c>
      <c r="J466" s="1" t="s">
        <v>26</v>
      </c>
      <c r="K466" s="1">
        <v>2023</v>
      </c>
      <c r="L466" s="1">
        <v>7</v>
      </c>
      <c r="M466" s="1" t="s">
        <v>27</v>
      </c>
      <c r="N466" s="1" t="s">
        <v>28</v>
      </c>
      <c r="O466" s="1" t="s">
        <v>29</v>
      </c>
      <c r="P466" s="1" t="s">
        <v>107</v>
      </c>
      <c r="Q466" s="1" t="s">
        <v>1319</v>
      </c>
    </row>
    <row r="467" spans="1:17" ht="15.75" customHeight="1" x14ac:dyDescent="0.25">
      <c r="A467" s="1" t="s">
        <v>595</v>
      </c>
      <c r="B467" s="1" t="s">
        <v>18</v>
      </c>
      <c r="C467" s="1" t="s">
        <v>19</v>
      </c>
      <c r="D467" s="1" t="s">
        <v>20</v>
      </c>
      <c r="E467" s="1" t="s">
        <v>21</v>
      </c>
      <c r="F467" s="1" t="s">
        <v>22</v>
      </c>
      <c r="G467" s="1" t="s">
        <v>596</v>
      </c>
      <c r="H467" s="1" t="s">
        <v>597</v>
      </c>
      <c r="I467" s="1" t="s">
        <v>598</v>
      </c>
      <c r="J467" s="1" t="s">
        <v>26</v>
      </c>
      <c r="K467" s="1">
        <v>2023</v>
      </c>
      <c r="L467" s="1">
        <v>7</v>
      </c>
      <c r="M467" s="1" t="s">
        <v>27</v>
      </c>
      <c r="N467" s="1" t="s">
        <v>28</v>
      </c>
      <c r="O467" s="1" t="s">
        <v>29</v>
      </c>
      <c r="P467" s="1" t="s">
        <v>599</v>
      </c>
      <c r="Q467" s="1" t="s">
        <v>1320</v>
      </c>
    </row>
    <row r="468" spans="1:17" ht="15.75" customHeight="1" x14ac:dyDescent="0.25">
      <c r="A468" s="1" t="s">
        <v>222</v>
      </c>
      <c r="B468" s="1" t="s">
        <v>18</v>
      </c>
      <c r="C468" s="1" t="s">
        <v>19</v>
      </c>
      <c r="D468" s="1" t="s">
        <v>20</v>
      </c>
      <c r="E468" s="1" t="s">
        <v>86</v>
      </c>
      <c r="F468" s="1" t="s">
        <v>22</v>
      </c>
      <c r="G468" s="1" t="s">
        <v>223</v>
      </c>
      <c r="H468" s="1" t="s">
        <v>224</v>
      </c>
      <c r="I468" s="1" t="s">
        <v>225</v>
      </c>
      <c r="J468" s="1" t="s">
        <v>26</v>
      </c>
      <c r="K468" s="1">
        <v>2023</v>
      </c>
      <c r="L468" s="1">
        <v>8</v>
      </c>
      <c r="M468" s="1" t="s">
        <v>89</v>
      </c>
      <c r="N468" s="1" t="s">
        <v>28</v>
      </c>
      <c r="O468" s="1" t="s">
        <v>29</v>
      </c>
      <c r="P468" s="1" t="s">
        <v>226</v>
      </c>
      <c r="Q468" s="1" t="s">
        <v>1321</v>
      </c>
    </row>
    <row r="469" spans="1:17" ht="15.75" customHeight="1" x14ac:dyDescent="0.25">
      <c r="A469" s="1" t="s">
        <v>602</v>
      </c>
      <c r="B469" s="1" t="s">
        <v>18</v>
      </c>
      <c r="C469" s="1" t="s">
        <v>19</v>
      </c>
      <c r="D469" s="1" t="s">
        <v>20</v>
      </c>
      <c r="E469" s="1" t="s">
        <v>86</v>
      </c>
      <c r="F469" s="1" t="s">
        <v>22</v>
      </c>
      <c r="G469" s="1" t="s">
        <v>603</v>
      </c>
      <c r="H469" s="1" t="s">
        <v>604</v>
      </c>
      <c r="I469" s="1" t="s">
        <v>605</v>
      </c>
      <c r="J469" s="1" t="s">
        <v>26</v>
      </c>
      <c r="K469" s="1">
        <v>2023</v>
      </c>
      <c r="L469" s="1">
        <v>8</v>
      </c>
      <c r="M469" s="1" t="s">
        <v>89</v>
      </c>
      <c r="N469" s="1" t="s">
        <v>28</v>
      </c>
      <c r="O469" s="1" t="s">
        <v>29</v>
      </c>
      <c r="P469" s="1" t="s">
        <v>606</v>
      </c>
      <c r="Q469" s="1" t="s">
        <v>1322</v>
      </c>
    </row>
    <row r="470" spans="1:17" ht="15.75" customHeight="1" x14ac:dyDescent="0.25">
      <c r="A470" s="1" t="s">
        <v>1323</v>
      </c>
      <c r="B470" s="1" t="s">
        <v>18</v>
      </c>
      <c r="C470" s="1" t="s">
        <v>19</v>
      </c>
      <c r="D470" s="1" t="s">
        <v>20</v>
      </c>
      <c r="E470" s="1" t="s">
        <v>86</v>
      </c>
      <c r="F470" s="1" t="s">
        <v>22</v>
      </c>
      <c r="G470" s="1" t="s">
        <v>186</v>
      </c>
      <c r="H470" s="1" t="s">
        <v>187</v>
      </c>
      <c r="I470" s="1" t="s">
        <v>188</v>
      </c>
      <c r="J470" s="1" t="s">
        <v>189</v>
      </c>
      <c r="K470" s="1">
        <v>2023</v>
      </c>
      <c r="L470" s="1">
        <v>8</v>
      </c>
      <c r="M470" s="1" t="s">
        <v>89</v>
      </c>
      <c r="N470" s="1" t="s">
        <v>28</v>
      </c>
      <c r="O470" s="1" t="s">
        <v>29</v>
      </c>
      <c r="P470" s="1" t="s">
        <v>190</v>
      </c>
      <c r="Q470" s="1" t="s">
        <v>1324</v>
      </c>
    </row>
    <row r="471" spans="1:17" ht="15.75" customHeight="1" x14ac:dyDescent="0.25">
      <c r="A471" s="1" t="s">
        <v>85</v>
      </c>
      <c r="B471" s="1" t="s">
        <v>18</v>
      </c>
      <c r="C471" s="1" t="s">
        <v>19</v>
      </c>
      <c r="D471" s="1" t="s">
        <v>20</v>
      </c>
      <c r="E471" s="1" t="s">
        <v>21</v>
      </c>
      <c r="F471" s="1" t="s">
        <v>22</v>
      </c>
      <c r="G471" s="1" t="s">
        <v>61</v>
      </c>
      <c r="H471" s="1" t="s">
        <v>452</v>
      </c>
      <c r="I471" s="1" t="s">
        <v>453</v>
      </c>
      <c r="J471" s="1" t="s">
        <v>26</v>
      </c>
      <c r="K471" s="1">
        <v>2023</v>
      </c>
      <c r="L471" s="1">
        <v>8</v>
      </c>
      <c r="M471" s="1" t="s">
        <v>27</v>
      </c>
      <c r="N471" s="1" t="s">
        <v>28</v>
      </c>
      <c r="O471" s="1" t="s">
        <v>29</v>
      </c>
      <c r="P471" s="1" t="s">
        <v>65</v>
      </c>
      <c r="Q471" s="1" t="s">
        <v>1325</v>
      </c>
    </row>
    <row r="472" spans="1:17" ht="15.75" customHeight="1" x14ac:dyDescent="0.25">
      <c r="A472" s="1" t="s">
        <v>1114</v>
      </c>
      <c r="B472" s="1" t="s">
        <v>18</v>
      </c>
      <c r="C472" s="1" t="s">
        <v>19</v>
      </c>
      <c r="D472" s="1" t="s">
        <v>20</v>
      </c>
      <c r="E472" s="1" t="s">
        <v>21</v>
      </c>
      <c r="F472" s="1" t="s">
        <v>22</v>
      </c>
      <c r="G472" s="1" t="s">
        <v>314</v>
      </c>
      <c r="H472" s="1" t="s">
        <v>1115</v>
      </c>
      <c r="I472" s="1" t="s">
        <v>1116</v>
      </c>
      <c r="J472" s="1" t="s">
        <v>26</v>
      </c>
      <c r="K472" s="1">
        <v>2023</v>
      </c>
      <c r="L472" s="1">
        <v>8</v>
      </c>
      <c r="M472" s="1" t="s">
        <v>27</v>
      </c>
      <c r="N472" s="1" t="s">
        <v>28</v>
      </c>
      <c r="O472" s="1" t="s">
        <v>29</v>
      </c>
      <c r="P472" s="1" t="s">
        <v>317</v>
      </c>
      <c r="Q472" s="1" t="s">
        <v>1326</v>
      </c>
    </row>
    <row r="473" spans="1:17" ht="15.75" customHeight="1" x14ac:dyDescent="0.25">
      <c r="A473" s="1" t="s">
        <v>411</v>
      </c>
      <c r="B473" s="1" t="s">
        <v>18</v>
      </c>
      <c r="C473" s="1" t="s">
        <v>19</v>
      </c>
      <c r="D473" s="1" t="s">
        <v>20</v>
      </c>
      <c r="E473" s="1" t="s">
        <v>86</v>
      </c>
      <c r="F473" s="1" t="s">
        <v>22</v>
      </c>
      <c r="G473" s="1" t="s">
        <v>223</v>
      </c>
      <c r="H473" s="1" t="s">
        <v>423</v>
      </c>
      <c r="I473" s="1" t="s">
        <v>448</v>
      </c>
      <c r="J473" s="1" t="s">
        <v>26</v>
      </c>
      <c r="K473" s="1">
        <v>2023</v>
      </c>
      <c r="L473" s="1">
        <v>9</v>
      </c>
      <c r="M473" s="1" t="s">
        <v>89</v>
      </c>
      <c r="N473" s="1" t="s">
        <v>28</v>
      </c>
      <c r="O473" s="1" t="s">
        <v>29</v>
      </c>
      <c r="P473" s="1" t="s">
        <v>226</v>
      </c>
      <c r="Q473" s="1" t="s">
        <v>1327</v>
      </c>
    </row>
    <row r="474" spans="1:17" ht="15.75" customHeight="1" x14ac:dyDescent="0.25">
      <c r="A474" s="1" t="s">
        <v>411</v>
      </c>
      <c r="B474" s="1" t="s">
        <v>18</v>
      </c>
      <c r="C474" s="1" t="s">
        <v>19</v>
      </c>
      <c r="D474" s="1" t="s">
        <v>20</v>
      </c>
      <c r="E474" s="1" t="s">
        <v>86</v>
      </c>
      <c r="F474" s="1" t="s">
        <v>22</v>
      </c>
      <c r="G474" s="1" t="s">
        <v>223</v>
      </c>
      <c r="H474" s="1" t="s">
        <v>412</v>
      </c>
      <c r="I474" s="1" t="s">
        <v>413</v>
      </c>
      <c r="J474" s="1" t="s">
        <v>26</v>
      </c>
      <c r="K474" s="1">
        <v>2023</v>
      </c>
      <c r="L474" s="1">
        <v>9</v>
      </c>
      <c r="M474" s="1" t="s">
        <v>89</v>
      </c>
      <c r="N474" s="1" t="s">
        <v>28</v>
      </c>
      <c r="O474" s="1" t="s">
        <v>29</v>
      </c>
      <c r="P474" s="1" t="s">
        <v>226</v>
      </c>
      <c r="Q474" s="1" t="s">
        <v>1328</v>
      </c>
    </row>
    <row r="475" spans="1:17" ht="15.75" customHeight="1" x14ac:dyDescent="0.25">
      <c r="A475" s="1" t="s">
        <v>308</v>
      </c>
      <c r="B475" s="1" t="s">
        <v>18</v>
      </c>
      <c r="C475" s="1" t="s">
        <v>19</v>
      </c>
      <c r="D475" s="1" t="s">
        <v>20</v>
      </c>
      <c r="E475" s="1" t="s">
        <v>21</v>
      </c>
      <c r="F475" s="1" t="s">
        <v>22</v>
      </c>
      <c r="G475" s="1" t="s">
        <v>267</v>
      </c>
      <c r="H475" s="1" t="s">
        <v>309</v>
      </c>
      <c r="I475" s="1" t="s">
        <v>310</v>
      </c>
      <c r="J475" s="1" t="s">
        <v>26</v>
      </c>
      <c r="K475" s="1">
        <v>2023</v>
      </c>
      <c r="L475" s="1">
        <v>9</v>
      </c>
      <c r="M475" s="1" t="s">
        <v>27</v>
      </c>
      <c r="N475" s="1" t="s">
        <v>28</v>
      </c>
      <c r="O475" s="1" t="s">
        <v>29</v>
      </c>
      <c r="P475" s="1" t="s">
        <v>270</v>
      </c>
      <c r="Q475" s="1" t="s">
        <v>1329</v>
      </c>
    </row>
    <row r="476" spans="1:17" ht="15.75" customHeight="1" x14ac:dyDescent="0.25">
      <c r="A476" s="1" t="s">
        <v>151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22</v>
      </c>
      <c r="G476" s="1" t="s">
        <v>282</v>
      </c>
      <c r="H476" s="1" t="s">
        <v>283</v>
      </c>
      <c r="I476" s="1" t="s">
        <v>284</v>
      </c>
      <c r="J476" s="1" t="s">
        <v>26</v>
      </c>
      <c r="K476" s="1">
        <v>2023</v>
      </c>
      <c r="L476" s="1">
        <v>9</v>
      </c>
      <c r="M476" s="1" t="s">
        <v>27</v>
      </c>
      <c r="N476" s="1" t="s">
        <v>28</v>
      </c>
      <c r="O476" s="1" t="s">
        <v>29</v>
      </c>
      <c r="P476" s="1" t="s">
        <v>285</v>
      </c>
      <c r="Q476" s="1" t="s">
        <v>1330</v>
      </c>
    </row>
    <row r="477" spans="1:17" ht="15.75" customHeight="1" x14ac:dyDescent="0.25">
      <c r="A477" s="1" t="s">
        <v>54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22</v>
      </c>
      <c r="G477" s="1" t="s">
        <v>39</v>
      </c>
      <c r="H477" s="1" t="s">
        <v>287</v>
      </c>
      <c r="I477" s="1" t="s">
        <v>288</v>
      </c>
      <c r="J477" s="1" t="s">
        <v>26</v>
      </c>
      <c r="K477" s="1">
        <v>2023</v>
      </c>
      <c r="L477" s="1">
        <v>9</v>
      </c>
      <c r="M477" s="1" t="s">
        <v>27</v>
      </c>
      <c r="N477" s="1" t="s">
        <v>28</v>
      </c>
      <c r="O477" s="1" t="s">
        <v>29</v>
      </c>
      <c r="P477" s="1" t="s">
        <v>42</v>
      </c>
      <c r="Q477" s="1" t="s">
        <v>1331</v>
      </c>
    </row>
    <row r="478" spans="1:17" ht="15.75" customHeight="1" x14ac:dyDescent="0.25">
      <c r="A478" s="1" t="s">
        <v>1114</v>
      </c>
      <c r="B478" s="1" t="s">
        <v>18</v>
      </c>
      <c r="C478" s="1" t="s">
        <v>19</v>
      </c>
      <c r="D478" s="1" t="s">
        <v>20</v>
      </c>
      <c r="E478" s="1" t="s">
        <v>21</v>
      </c>
      <c r="F478" s="1" t="s">
        <v>22</v>
      </c>
      <c r="G478" s="1" t="s">
        <v>314</v>
      </c>
      <c r="H478" s="1" t="s">
        <v>1115</v>
      </c>
      <c r="I478" s="1" t="s">
        <v>1116</v>
      </c>
      <c r="J478" s="1" t="s">
        <v>26</v>
      </c>
      <c r="K478" s="1">
        <v>2023</v>
      </c>
      <c r="L478" s="1">
        <v>9</v>
      </c>
      <c r="M478" s="1" t="s">
        <v>27</v>
      </c>
      <c r="N478" s="1" t="s">
        <v>28</v>
      </c>
      <c r="O478" s="1" t="s">
        <v>29</v>
      </c>
      <c r="P478" s="1" t="s">
        <v>317</v>
      </c>
      <c r="Q478" s="1" t="s">
        <v>1332</v>
      </c>
    </row>
    <row r="479" spans="1:17" ht="15.75" customHeight="1" x14ac:dyDescent="0.25">
      <c r="A479" s="1" t="s">
        <v>291</v>
      </c>
      <c r="B479" s="1" t="s">
        <v>18</v>
      </c>
      <c r="C479" s="1" t="s">
        <v>19</v>
      </c>
      <c r="D479" s="1" t="s">
        <v>20</v>
      </c>
      <c r="E479" s="1" t="s">
        <v>21</v>
      </c>
      <c r="F479" s="1" t="s">
        <v>22</v>
      </c>
      <c r="G479" s="1" t="s">
        <v>167</v>
      </c>
      <c r="H479" s="1" t="s">
        <v>390</v>
      </c>
      <c r="I479" s="1" t="s">
        <v>391</v>
      </c>
      <c r="J479" s="1" t="s">
        <v>26</v>
      </c>
      <c r="K479" s="1">
        <v>2023</v>
      </c>
      <c r="L479" s="1">
        <v>9</v>
      </c>
      <c r="M479" s="1" t="s">
        <v>27</v>
      </c>
      <c r="N479" s="1" t="s">
        <v>28</v>
      </c>
      <c r="O479" s="1" t="s">
        <v>29</v>
      </c>
      <c r="P479" s="1" t="s">
        <v>170</v>
      </c>
      <c r="Q479" s="1" t="s">
        <v>1333</v>
      </c>
    </row>
    <row r="480" spans="1:17" ht="15.75" customHeight="1" x14ac:dyDescent="0.25">
      <c r="A480" s="1" t="s">
        <v>411</v>
      </c>
      <c r="B480" s="1" t="s">
        <v>18</v>
      </c>
      <c r="C480" s="1" t="s">
        <v>19</v>
      </c>
      <c r="D480" s="1" t="s">
        <v>20</v>
      </c>
      <c r="E480" s="1" t="s">
        <v>86</v>
      </c>
      <c r="F480" s="1" t="s">
        <v>22</v>
      </c>
      <c r="G480" s="1" t="s">
        <v>223</v>
      </c>
      <c r="H480" s="1" t="s">
        <v>412</v>
      </c>
      <c r="I480" s="1" t="s">
        <v>413</v>
      </c>
      <c r="J480" s="1" t="s">
        <v>26</v>
      </c>
      <c r="K480" s="1">
        <v>2023</v>
      </c>
      <c r="L480" s="1">
        <v>10</v>
      </c>
      <c r="M480" s="1" t="s">
        <v>89</v>
      </c>
      <c r="N480" s="1" t="s">
        <v>28</v>
      </c>
      <c r="O480" s="1" t="s">
        <v>29</v>
      </c>
      <c r="P480" s="1" t="s">
        <v>226</v>
      </c>
      <c r="Q480" s="1" t="s">
        <v>1334</v>
      </c>
    </row>
    <row r="481" spans="1:17" ht="15.75" customHeight="1" x14ac:dyDescent="0.25">
      <c r="A481" s="1" t="s">
        <v>297</v>
      </c>
      <c r="B481" s="1" t="s">
        <v>18</v>
      </c>
      <c r="C481" s="1" t="s">
        <v>19</v>
      </c>
      <c r="D481" s="1" t="s">
        <v>20</v>
      </c>
      <c r="E481" s="1" t="s">
        <v>86</v>
      </c>
      <c r="F481" s="1" t="s">
        <v>22</v>
      </c>
      <c r="G481" s="1" t="s">
        <v>298</v>
      </c>
      <c r="H481" s="1" t="s">
        <v>299</v>
      </c>
      <c r="I481" s="1" t="s">
        <v>300</v>
      </c>
      <c r="J481" s="1" t="s">
        <v>26</v>
      </c>
      <c r="K481" s="1">
        <v>2023</v>
      </c>
      <c r="L481" s="1">
        <v>10</v>
      </c>
      <c r="M481" s="1" t="s">
        <v>89</v>
      </c>
      <c r="N481" s="1" t="s">
        <v>28</v>
      </c>
      <c r="O481" s="1" t="s">
        <v>29</v>
      </c>
      <c r="P481" s="1" t="s">
        <v>301</v>
      </c>
      <c r="Q481" s="1" t="s">
        <v>1335</v>
      </c>
    </row>
    <row r="482" spans="1:17" ht="15.75" customHeight="1" x14ac:dyDescent="0.25">
      <c r="A482" s="1" t="s">
        <v>1336</v>
      </c>
      <c r="B482" s="1" t="s">
        <v>18</v>
      </c>
      <c r="C482" s="1" t="s">
        <v>19</v>
      </c>
      <c r="D482" s="1" t="s">
        <v>20</v>
      </c>
      <c r="E482" s="1" t="s">
        <v>86</v>
      </c>
      <c r="F482" s="1" t="s">
        <v>22</v>
      </c>
      <c r="G482" s="1" t="s">
        <v>186</v>
      </c>
      <c r="H482" s="1" t="s">
        <v>416</v>
      </c>
      <c r="I482" s="1" t="s">
        <v>417</v>
      </c>
      <c r="J482" s="1" t="s">
        <v>189</v>
      </c>
      <c r="K482" s="1">
        <v>2023</v>
      </c>
      <c r="L482" s="1">
        <v>10</v>
      </c>
      <c r="M482" s="1" t="s">
        <v>89</v>
      </c>
      <c r="N482" s="1" t="s">
        <v>28</v>
      </c>
      <c r="O482" s="1" t="s">
        <v>29</v>
      </c>
      <c r="P482" s="1" t="s">
        <v>190</v>
      </c>
      <c r="Q482" s="1" t="s">
        <v>1337</v>
      </c>
    </row>
    <row r="483" spans="1:17" ht="15.75" customHeight="1" x14ac:dyDescent="0.25">
      <c r="A483" s="1" t="s">
        <v>97</v>
      </c>
      <c r="B483" s="1" t="s">
        <v>18</v>
      </c>
      <c r="C483" s="1" t="s">
        <v>19</v>
      </c>
      <c r="D483" s="1" t="s">
        <v>20</v>
      </c>
      <c r="E483" s="1" t="s">
        <v>21</v>
      </c>
      <c r="F483" s="1" t="s">
        <v>22</v>
      </c>
      <c r="G483" s="1" t="s">
        <v>61</v>
      </c>
      <c r="H483" s="1" t="s">
        <v>1338</v>
      </c>
      <c r="I483" s="1" t="s">
        <v>1339</v>
      </c>
      <c r="J483" s="1" t="s">
        <v>26</v>
      </c>
      <c r="K483" s="1">
        <v>2023</v>
      </c>
      <c r="L483" s="1">
        <v>10</v>
      </c>
      <c r="M483" s="1" t="s">
        <v>27</v>
      </c>
      <c r="N483" s="1" t="s">
        <v>28</v>
      </c>
      <c r="O483" s="1" t="s">
        <v>29</v>
      </c>
      <c r="P483" s="1" t="s">
        <v>65</v>
      </c>
      <c r="Q483" s="1" t="s">
        <v>1340</v>
      </c>
    </row>
    <row r="484" spans="1:17" ht="15.75" customHeight="1" x14ac:dyDescent="0.25">
      <c r="A484" s="1" t="s">
        <v>339</v>
      </c>
      <c r="B484" s="1" t="s">
        <v>18</v>
      </c>
      <c r="C484" s="1" t="s">
        <v>19</v>
      </c>
      <c r="D484" s="1" t="s">
        <v>20</v>
      </c>
      <c r="E484" s="1" t="s">
        <v>21</v>
      </c>
      <c r="F484" s="1" t="s">
        <v>22</v>
      </c>
      <c r="G484" s="1" t="s">
        <v>75</v>
      </c>
      <c r="H484" s="1" t="s">
        <v>376</v>
      </c>
      <c r="I484" s="1" t="s">
        <v>377</v>
      </c>
      <c r="J484" s="1" t="s">
        <v>26</v>
      </c>
      <c r="K484" s="1">
        <v>2023</v>
      </c>
      <c r="L484" s="1">
        <v>10</v>
      </c>
      <c r="M484" s="1" t="s">
        <v>27</v>
      </c>
      <c r="N484" s="1" t="s">
        <v>28</v>
      </c>
      <c r="O484" s="1" t="s">
        <v>29</v>
      </c>
      <c r="P484" s="1" t="s">
        <v>78</v>
      </c>
      <c r="Q484" s="1" t="s">
        <v>1341</v>
      </c>
    </row>
    <row r="485" spans="1:17" ht="15.75" customHeight="1" x14ac:dyDescent="0.25">
      <c r="A485" s="1" t="s">
        <v>166</v>
      </c>
      <c r="B485" s="1" t="s">
        <v>18</v>
      </c>
      <c r="C485" s="1" t="s">
        <v>19</v>
      </c>
      <c r="D485" s="1" t="s">
        <v>20</v>
      </c>
      <c r="E485" s="1" t="s">
        <v>21</v>
      </c>
      <c r="F485" s="1" t="s">
        <v>22</v>
      </c>
      <c r="G485" s="1" t="s">
        <v>167</v>
      </c>
      <c r="H485" s="1" t="s">
        <v>168</v>
      </c>
      <c r="I485" s="1" t="s">
        <v>169</v>
      </c>
      <c r="J485" s="1" t="s">
        <v>26</v>
      </c>
      <c r="K485" s="1">
        <v>2023</v>
      </c>
      <c r="L485" s="1">
        <v>10</v>
      </c>
      <c r="M485" s="1" t="s">
        <v>27</v>
      </c>
      <c r="N485" s="1" t="s">
        <v>28</v>
      </c>
      <c r="O485" s="1" t="s">
        <v>29</v>
      </c>
      <c r="P485" s="1" t="s">
        <v>170</v>
      </c>
      <c r="Q485" s="1" t="s">
        <v>1342</v>
      </c>
    </row>
    <row r="486" spans="1:17" ht="15.75" customHeight="1" x14ac:dyDescent="0.25">
      <c r="A486" s="1" t="s">
        <v>222</v>
      </c>
      <c r="B486" s="1" t="s">
        <v>18</v>
      </c>
      <c r="C486" s="1" t="s">
        <v>19</v>
      </c>
      <c r="D486" s="1" t="s">
        <v>20</v>
      </c>
      <c r="E486" s="1" t="s">
        <v>86</v>
      </c>
      <c r="F486" s="1" t="s">
        <v>22</v>
      </c>
      <c r="G486" s="1" t="s">
        <v>223</v>
      </c>
      <c r="H486" s="1" t="s">
        <v>224</v>
      </c>
      <c r="I486" s="1" t="s">
        <v>225</v>
      </c>
      <c r="J486" s="1" t="s">
        <v>26</v>
      </c>
      <c r="K486" s="1">
        <v>2023</v>
      </c>
      <c r="L486" s="1">
        <v>11</v>
      </c>
      <c r="M486" s="1" t="s">
        <v>89</v>
      </c>
      <c r="N486" s="1" t="s">
        <v>28</v>
      </c>
      <c r="O486" s="1" t="s">
        <v>29</v>
      </c>
      <c r="P486" s="1" t="s">
        <v>226</v>
      </c>
      <c r="Q486" s="1" t="s">
        <v>1343</v>
      </c>
    </row>
    <row r="487" spans="1:17" ht="15.75" customHeight="1" x14ac:dyDescent="0.25">
      <c r="A487" s="1" t="s">
        <v>323</v>
      </c>
      <c r="B487" s="1" t="s">
        <v>18</v>
      </c>
      <c r="C487" s="1" t="s">
        <v>19</v>
      </c>
      <c r="D487" s="1" t="s">
        <v>20</v>
      </c>
      <c r="E487" s="1" t="s">
        <v>86</v>
      </c>
      <c r="F487" s="1" t="s">
        <v>22</v>
      </c>
      <c r="G487" s="1" t="s">
        <v>324</v>
      </c>
      <c r="H487" s="1" t="s">
        <v>325</v>
      </c>
      <c r="I487" s="1" t="s">
        <v>326</v>
      </c>
      <c r="J487" s="1" t="s">
        <v>26</v>
      </c>
      <c r="K487" s="1">
        <v>2023</v>
      </c>
      <c r="L487" s="1">
        <v>11</v>
      </c>
      <c r="M487" s="1" t="s">
        <v>89</v>
      </c>
      <c r="N487" s="1" t="s">
        <v>28</v>
      </c>
      <c r="O487" s="1" t="s">
        <v>29</v>
      </c>
      <c r="P487" s="1" t="s">
        <v>327</v>
      </c>
      <c r="Q487" s="1" t="s">
        <v>1344</v>
      </c>
    </row>
    <row r="488" spans="1:17" ht="15.75" customHeight="1" x14ac:dyDescent="0.25">
      <c r="A488" s="1" t="s">
        <v>1345</v>
      </c>
      <c r="B488" s="1" t="s">
        <v>18</v>
      </c>
      <c r="C488" s="1" t="s">
        <v>19</v>
      </c>
      <c r="D488" s="1" t="s">
        <v>20</v>
      </c>
      <c r="E488" s="1" t="s">
        <v>86</v>
      </c>
      <c r="F488" s="1" t="s">
        <v>22</v>
      </c>
      <c r="G488" s="1" t="s">
        <v>298</v>
      </c>
      <c r="H488" s="2" t="s">
        <v>547</v>
      </c>
      <c r="I488" s="2" t="s">
        <v>1346</v>
      </c>
      <c r="J488" s="1" t="s">
        <v>26</v>
      </c>
      <c r="K488" s="1">
        <v>2023</v>
      </c>
      <c r="L488" s="1">
        <v>11</v>
      </c>
      <c r="M488" s="1" t="s">
        <v>89</v>
      </c>
      <c r="N488" s="1" t="s">
        <v>28</v>
      </c>
      <c r="O488" s="1" t="s">
        <v>29</v>
      </c>
      <c r="P488" s="1" t="s">
        <v>301</v>
      </c>
      <c r="Q488" s="2" t="s">
        <v>1347</v>
      </c>
    </row>
    <row r="489" spans="1:17" ht="15.75" customHeight="1" x14ac:dyDescent="0.25">
      <c r="A489" s="1" t="s">
        <v>151</v>
      </c>
      <c r="B489" s="1" t="s">
        <v>18</v>
      </c>
      <c r="C489" s="1" t="s">
        <v>19</v>
      </c>
      <c r="D489" s="1" t="s">
        <v>20</v>
      </c>
      <c r="E489" s="1" t="s">
        <v>86</v>
      </c>
      <c r="F489" s="1" t="s">
        <v>22</v>
      </c>
      <c r="G489" s="1" t="s">
        <v>152</v>
      </c>
      <c r="H489" s="2" t="s">
        <v>660</v>
      </c>
      <c r="I489" s="2" t="s">
        <v>661</v>
      </c>
      <c r="J489" s="1" t="s">
        <v>26</v>
      </c>
      <c r="K489" s="1">
        <v>2023</v>
      </c>
      <c r="L489" s="1">
        <v>11</v>
      </c>
      <c r="M489" s="1" t="s">
        <v>89</v>
      </c>
      <c r="N489" s="1" t="s">
        <v>28</v>
      </c>
      <c r="O489" s="1" t="s">
        <v>29</v>
      </c>
      <c r="P489" s="1" t="s">
        <v>155</v>
      </c>
      <c r="Q489" s="2" t="s">
        <v>1348</v>
      </c>
    </row>
    <row r="490" spans="1:17" ht="15.75" customHeight="1" x14ac:dyDescent="0.25">
      <c r="A490" s="1" t="s">
        <v>465</v>
      </c>
      <c r="B490" s="1" t="s">
        <v>18</v>
      </c>
      <c r="C490" s="1" t="s">
        <v>19</v>
      </c>
      <c r="D490" s="1" t="s">
        <v>20</v>
      </c>
      <c r="E490" s="1" t="s">
        <v>86</v>
      </c>
      <c r="F490" s="1" t="s">
        <v>22</v>
      </c>
      <c r="G490" s="1" t="s">
        <v>186</v>
      </c>
      <c r="H490" s="1" t="s">
        <v>416</v>
      </c>
      <c r="I490" s="1" t="s">
        <v>417</v>
      </c>
      <c r="J490" s="1" t="s">
        <v>189</v>
      </c>
      <c r="K490" s="1">
        <v>2023</v>
      </c>
      <c r="L490" s="1">
        <v>11</v>
      </c>
      <c r="M490" s="1" t="s">
        <v>89</v>
      </c>
      <c r="N490" s="1" t="s">
        <v>28</v>
      </c>
      <c r="O490" s="1" t="s">
        <v>29</v>
      </c>
      <c r="P490" s="1" t="s">
        <v>190</v>
      </c>
      <c r="Q490" s="1" t="s">
        <v>1349</v>
      </c>
    </row>
    <row r="491" spans="1:17" ht="15.75" customHeight="1" x14ac:dyDescent="0.25">
      <c r="A491" s="1" t="s">
        <v>1350</v>
      </c>
      <c r="B491" s="1" t="s">
        <v>18</v>
      </c>
      <c r="C491" s="1" t="s">
        <v>19</v>
      </c>
      <c r="D491" s="1" t="s">
        <v>20</v>
      </c>
      <c r="E491" s="1" t="s">
        <v>21</v>
      </c>
      <c r="F491" s="1" t="s">
        <v>22</v>
      </c>
      <c r="G491" s="1" t="s">
        <v>68</v>
      </c>
      <c r="H491" s="1" t="s">
        <v>69</v>
      </c>
      <c r="I491" s="1" t="s">
        <v>70</v>
      </c>
      <c r="J491" s="1" t="s">
        <v>26</v>
      </c>
      <c r="K491" s="1">
        <v>2023</v>
      </c>
      <c r="L491" s="1">
        <v>11</v>
      </c>
      <c r="M491" s="1" t="s">
        <v>27</v>
      </c>
      <c r="N491" s="1" t="s">
        <v>28</v>
      </c>
      <c r="O491" s="1" t="s">
        <v>29</v>
      </c>
      <c r="P491" s="1" t="s">
        <v>71</v>
      </c>
      <c r="Q491" s="1" t="s">
        <v>1351</v>
      </c>
    </row>
    <row r="492" spans="1:17" ht="15.75" customHeight="1" x14ac:dyDescent="0.25">
      <c r="A492" s="1" t="s">
        <v>541</v>
      </c>
      <c r="B492" s="1" t="s">
        <v>18</v>
      </c>
      <c r="C492" s="1" t="s">
        <v>19</v>
      </c>
      <c r="D492" s="1" t="s">
        <v>20</v>
      </c>
      <c r="E492" s="1" t="s">
        <v>21</v>
      </c>
      <c r="F492" s="1" t="s">
        <v>22</v>
      </c>
      <c r="G492" s="1" t="s">
        <v>61</v>
      </c>
      <c r="H492" s="1" t="s">
        <v>513</v>
      </c>
      <c r="I492" s="1" t="s">
        <v>514</v>
      </c>
      <c r="J492" s="1" t="s">
        <v>26</v>
      </c>
      <c r="K492" s="1">
        <v>2023</v>
      </c>
      <c r="L492" s="1">
        <v>11</v>
      </c>
      <c r="M492" s="1" t="s">
        <v>27</v>
      </c>
      <c r="N492" s="1" t="s">
        <v>28</v>
      </c>
      <c r="O492" s="1" t="s">
        <v>29</v>
      </c>
      <c r="P492" s="1" t="s">
        <v>65</v>
      </c>
      <c r="Q492" s="1" t="s">
        <v>1352</v>
      </c>
    </row>
    <row r="493" spans="1:17" ht="15.75" customHeight="1" x14ac:dyDescent="0.25">
      <c r="A493" s="1" t="s">
        <v>339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22</v>
      </c>
      <c r="G493" s="1" t="s">
        <v>75</v>
      </c>
      <c r="H493" s="1" t="s">
        <v>340</v>
      </c>
      <c r="I493" s="1" t="s">
        <v>341</v>
      </c>
      <c r="J493" s="1" t="s">
        <v>26</v>
      </c>
      <c r="K493" s="1">
        <v>2023</v>
      </c>
      <c r="L493" s="1">
        <v>11</v>
      </c>
      <c r="M493" s="1" t="s">
        <v>27</v>
      </c>
      <c r="N493" s="1" t="s">
        <v>28</v>
      </c>
      <c r="O493" s="1" t="s">
        <v>29</v>
      </c>
      <c r="P493" s="1" t="s">
        <v>78</v>
      </c>
      <c r="Q493" s="1" t="s">
        <v>1353</v>
      </c>
    </row>
    <row r="494" spans="1:17" ht="15.75" customHeight="1" x14ac:dyDescent="0.25">
      <c r="A494" s="1" t="s">
        <v>1275</v>
      </c>
      <c r="B494" s="1" t="s">
        <v>18</v>
      </c>
      <c r="C494" s="1" t="s">
        <v>19</v>
      </c>
      <c r="D494" s="1" t="s">
        <v>20</v>
      </c>
      <c r="E494" s="1" t="s">
        <v>21</v>
      </c>
      <c r="F494" s="1" t="s">
        <v>22</v>
      </c>
      <c r="G494" s="1" t="s">
        <v>682</v>
      </c>
      <c r="H494" s="1" t="s">
        <v>1276</v>
      </c>
      <c r="I494" s="1" t="s">
        <v>1277</v>
      </c>
      <c r="J494" s="1" t="s">
        <v>26</v>
      </c>
      <c r="K494" s="1">
        <v>2023</v>
      </c>
      <c r="L494" s="1">
        <v>11</v>
      </c>
      <c r="M494" s="1" t="s">
        <v>27</v>
      </c>
      <c r="N494" s="1" t="s">
        <v>28</v>
      </c>
      <c r="O494" s="1" t="s">
        <v>29</v>
      </c>
      <c r="P494" s="1" t="s">
        <v>685</v>
      </c>
      <c r="Q494" s="1" t="s">
        <v>1354</v>
      </c>
    </row>
    <row r="495" spans="1:17" ht="15.75" customHeight="1" x14ac:dyDescent="0.25">
      <c r="A495" s="1" t="s">
        <v>507</v>
      </c>
      <c r="B495" s="1" t="s">
        <v>18</v>
      </c>
      <c r="C495" s="1" t="s">
        <v>19</v>
      </c>
      <c r="D495" s="1" t="s">
        <v>20</v>
      </c>
      <c r="E495" s="1" t="s">
        <v>21</v>
      </c>
      <c r="F495" s="1" t="s">
        <v>22</v>
      </c>
      <c r="G495" s="1" t="s">
        <v>104</v>
      </c>
      <c r="H495" s="1" t="s">
        <v>105</v>
      </c>
      <c r="I495" s="1" t="s">
        <v>106</v>
      </c>
      <c r="J495" s="1" t="s">
        <v>26</v>
      </c>
      <c r="K495" s="1">
        <v>2023</v>
      </c>
      <c r="L495" s="1">
        <v>11</v>
      </c>
      <c r="M495" s="1" t="s">
        <v>27</v>
      </c>
      <c r="N495" s="1" t="s">
        <v>28</v>
      </c>
      <c r="O495" s="1" t="s">
        <v>29</v>
      </c>
      <c r="P495" s="1" t="s">
        <v>107</v>
      </c>
      <c r="Q495" s="1" t="s">
        <v>1355</v>
      </c>
    </row>
    <row r="496" spans="1:17" ht="15.75" customHeight="1" x14ac:dyDescent="0.25">
      <c r="A496" s="1" t="s">
        <v>297</v>
      </c>
      <c r="B496" s="1" t="s">
        <v>18</v>
      </c>
      <c r="C496" s="1" t="s">
        <v>19</v>
      </c>
      <c r="D496" s="1" t="s">
        <v>20</v>
      </c>
      <c r="E496" s="1" t="s">
        <v>21</v>
      </c>
      <c r="F496" s="1" t="s">
        <v>22</v>
      </c>
      <c r="G496" s="1" t="s">
        <v>217</v>
      </c>
      <c r="H496" s="1" t="s">
        <v>218</v>
      </c>
      <c r="I496" s="1" t="s">
        <v>219</v>
      </c>
      <c r="J496" s="1" t="s">
        <v>26</v>
      </c>
      <c r="K496" s="1">
        <v>2023</v>
      </c>
      <c r="L496" s="1">
        <v>11</v>
      </c>
      <c r="M496" s="1" t="s">
        <v>27</v>
      </c>
      <c r="N496" s="1" t="s">
        <v>28</v>
      </c>
      <c r="O496" s="1" t="s">
        <v>29</v>
      </c>
      <c r="P496" s="1" t="s">
        <v>220</v>
      </c>
      <c r="Q496" s="1" t="s">
        <v>1356</v>
      </c>
    </row>
    <row r="497" spans="1:17" ht="15.75" customHeight="1" x14ac:dyDescent="0.25">
      <c r="A497" s="1" t="s">
        <v>411</v>
      </c>
      <c r="B497" s="1" t="s">
        <v>18</v>
      </c>
      <c r="C497" s="1" t="s">
        <v>19</v>
      </c>
      <c r="D497" s="1" t="s">
        <v>20</v>
      </c>
      <c r="E497" s="1" t="s">
        <v>86</v>
      </c>
      <c r="F497" s="1" t="s">
        <v>22</v>
      </c>
      <c r="G497" s="1" t="s">
        <v>223</v>
      </c>
      <c r="H497" s="1" t="s">
        <v>1170</v>
      </c>
      <c r="I497" s="1" t="s">
        <v>1171</v>
      </c>
      <c r="J497" s="1" t="s">
        <v>26</v>
      </c>
      <c r="K497" s="1">
        <v>2023</v>
      </c>
      <c r="L497" s="1">
        <v>12</v>
      </c>
      <c r="M497" s="1" t="s">
        <v>89</v>
      </c>
      <c r="N497" s="1" t="s">
        <v>28</v>
      </c>
      <c r="O497" s="1" t="s">
        <v>29</v>
      </c>
      <c r="P497" s="1" t="s">
        <v>226</v>
      </c>
      <c r="Q497" s="1" t="s">
        <v>1357</v>
      </c>
    </row>
    <row r="498" spans="1:17" ht="15.75" customHeight="1" x14ac:dyDescent="0.25">
      <c r="A498" s="1" t="s">
        <v>228</v>
      </c>
      <c r="B498" s="1" t="s">
        <v>18</v>
      </c>
      <c r="C498" s="1" t="s">
        <v>19</v>
      </c>
      <c r="D498" s="1" t="s">
        <v>20</v>
      </c>
      <c r="E498" s="1" t="s">
        <v>86</v>
      </c>
      <c r="F498" s="1" t="s">
        <v>22</v>
      </c>
      <c r="G498" s="1" t="s">
        <v>223</v>
      </c>
      <c r="H498" s="1" t="s">
        <v>258</v>
      </c>
      <c r="I498" s="1" t="s">
        <v>259</v>
      </c>
      <c r="J498" s="1" t="s">
        <v>26</v>
      </c>
      <c r="K498" s="1">
        <v>2023</v>
      </c>
      <c r="L498" s="1">
        <v>12</v>
      </c>
      <c r="M498" s="1" t="s">
        <v>89</v>
      </c>
      <c r="N498" s="1" t="s">
        <v>28</v>
      </c>
      <c r="O498" s="1" t="s">
        <v>29</v>
      </c>
      <c r="P498" s="1" t="s">
        <v>226</v>
      </c>
      <c r="Q498" s="1" t="s">
        <v>1358</v>
      </c>
    </row>
    <row r="499" spans="1:17" ht="15.75" customHeight="1" x14ac:dyDescent="0.25">
      <c r="A499" s="1" t="s">
        <v>295</v>
      </c>
      <c r="B499" s="1" t="s">
        <v>18</v>
      </c>
      <c r="C499" s="1" t="s">
        <v>19</v>
      </c>
      <c r="D499" s="1" t="s">
        <v>20</v>
      </c>
      <c r="E499" s="1" t="s">
        <v>86</v>
      </c>
      <c r="F499" s="1" t="s">
        <v>22</v>
      </c>
      <c r="G499" s="1" t="s">
        <v>92</v>
      </c>
      <c r="H499" s="1" t="s">
        <v>93</v>
      </c>
      <c r="I499" s="1" t="s">
        <v>94</v>
      </c>
      <c r="J499" s="1" t="s">
        <v>26</v>
      </c>
      <c r="K499" s="1">
        <v>2023</v>
      </c>
      <c r="L499" s="1">
        <v>12</v>
      </c>
      <c r="M499" s="1" t="s">
        <v>89</v>
      </c>
      <c r="N499" s="1" t="s">
        <v>28</v>
      </c>
      <c r="O499" s="1" t="s">
        <v>29</v>
      </c>
      <c r="P499" s="1" t="s">
        <v>95</v>
      </c>
      <c r="Q499" s="1" t="s">
        <v>1359</v>
      </c>
    </row>
    <row r="500" spans="1:17" ht="15.75" customHeight="1" x14ac:dyDescent="0.25">
      <c r="A500" s="1" t="s">
        <v>1360</v>
      </c>
      <c r="B500" s="1" t="s">
        <v>18</v>
      </c>
      <c r="C500" s="1" t="s">
        <v>19</v>
      </c>
      <c r="D500" s="1" t="s">
        <v>20</v>
      </c>
      <c r="E500" s="1" t="s">
        <v>21</v>
      </c>
      <c r="F500" s="1" t="s">
        <v>22</v>
      </c>
      <c r="G500" s="1" t="s">
        <v>75</v>
      </c>
      <c r="H500" s="1" t="s">
        <v>1361</v>
      </c>
      <c r="I500" s="1" t="s">
        <v>1362</v>
      </c>
      <c r="J500" s="1" t="s">
        <v>26</v>
      </c>
      <c r="K500" s="1">
        <v>2023</v>
      </c>
      <c r="L500" s="1">
        <v>12</v>
      </c>
      <c r="M500" s="1" t="s">
        <v>27</v>
      </c>
      <c r="N500" s="1" t="s">
        <v>28</v>
      </c>
      <c r="O500" s="1" t="s">
        <v>29</v>
      </c>
      <c r="P500" s="1" t="s">
        <v>78</v>
      </c>
      <c r="Q500" s="1" t="s">
        <v>1363</v>
      </c>
    </row>
    <row r="501" spans="1:17" ht="15.75" customHeight="1" x14ac:dyDescent="0.25"/>
    <row r="502" spans="1:17" ht="15.75" customHeight="1" x14ac:dyDescent="0.25"/>
    <row r="503" spans="1:17" ht="15.75" customHeight="1" x14ac:dyDescent="0.25"/>
    <row r="504" spans="1:17" ht="15.75" customHeight="1" x14ac:dyDescent="0.25"/>
    <row r="505" spans="1:17" ht="15.75" customHeight="1" x14ac:dyDescent="0.25"/>
    <row r="506" spans="1:17" ht="15.75" customHeight="1" x14ac:dyDescent="0.25"/>
    <row r="507" spans="1:17" ht="15.75" customHeight="1" x14ac:dyDescent="0.25"/>
    <row r="508" spans="1:17" ht="15.75" customHeight="1" x14ac:dyDescent="0.25"/>
    <row r="509" spans="1:17" ht="15.75" customHeight="1" x14ac:dyDescent="0.25"/>
    <row r="510" spans="1:17" ht="15.75" customHeight="1" x14ac:dyDescent="0.25"/>
    <row r="511" spans="1:17" ht="15.75" customHeight="1" x14ac:dyDescent="0.25"/>
    <row r="512" spans="1:17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spans="8:17" ht="15.75" customHeight="1" x14ac:dyDescent="0.25"/>
    <row r="530" spans="8:17" ht="15.75" customHeight="1" x14ac:dyDescent="0.25"/>
    <row r="531" spans="8:17" ht="15.75" customHeight="1" x14ac:dyDescent="0.25"/>
    <row r="532" spans="8:17" ht="15.75" customHeight="1" x14ac:dyDescent="0.25"/>
    <row r="533" spans="8:17" ht="15.75" customHeight="1" x14ac:dyDescent="0.25"/>
    <row r="534" spans="8:17" ht="15.75" customHeight="1" x14ac:dyDescent="0.25"/>
    <row r="535" spans="8:17" ht="15.75" customHeight="1" x14ac:dyDescent="0.25"/>
    <row r="536" spans="8:17" ht="15.75" customHeight="1" x14ac:dyDescent="0.25"/>
    <row r="537" spans="8:17" ht="15.75" customHeight="1" x14ac:dyDescent="0.25"/>
    <row r="538" spans="8:17" ht="15.75" customHeight="1" x14ac:dyDescent="0.25"/>
    <row r="539" spans="8:17" ht="15.75" customHeight="1" x14ac:dyDescent="0.25"/>
    <row r="540" spans="8:17" ht="15.75" customHeight="1" x14ac:dyDescent="0.25"/>
    <row r="541" spans="8:17" ht="15.75" customHeight="1" x14ac:dyDescent="0.25"/>
    <row r="542" spans="8:17" ht="15.75" customHeight="1" x14ac:dyDescent="0.25"/>
    <row r="543" spans="8:17" ht="15.75" customHeight="1" x14ac:dyDescent="0.25"/>
    <row r="544" spans="8:17" ht="15.75" customHeight="1" x14ac:dyDescent="0.25">
      <c r="H544" s="2"/>
      <c r="I544" s="2"/>
      <c r="Q544" s="2"/>
    </row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spans="8:17" ht="15.75" customHeight="1" x14ac:dyDescent="0.25"/>
    <row r="578" spans="8:17" ht="15.75" customHeight="1" x14ac:dyDescent="0.25">
      <c r="H578" s="2"/>
      <c r="I578" s="2"/>
      <c r="Q578" s="2"/>
    </row>
    <row r="579" spans="8:17" ht="15.75" customHeight="1" x14ac:dyDescent="0.25"/>
    <row r="580" spans="8:17" ht="15.75" customHeight="1" x14ac:dyDescent="0.25"/>
    <row r="581" spans="8:17" ht="15.75" customHeight="1" x14ac:dyDescent="0.25"/>
    <row r="582" spans="8:17" ht="15.75" customHeight="1" x14ac:dyDescent="0.25"/>
    <row r="583" spans="8:17" ht="15.75" customHeight="1" x14ac:dyDescent="0.25"/>
    <row r="584" spans="8:17" ht="15.75" customHeight="1" x14ac:dyDescent="0.25"/>
    <row r="585" spans="8:17" ht="15.75" customHeight="1" x14ac:dyDescent="0.25"/>
    <row r="586" spans="8:17" ht="15.75" customHeight="1" x14ac:dyDescent="0.25"/>
    <row r="587" spans="8:17" ht="15.75" customHeight="1" x14ac:dyDescent="0.25"/>
    <row r="588" spans="8:17" ht="15.75" customHeight="1" x14ac:dyDescent="0.25"/>
    <row r="589" spans="8:17" ht="15.75" customHeight="1" x14ac:dyDescent="0.25"/>
    <row r="590" spans="8:17" ht="15.75" customHeight="1" x14ac:dyDescent="0.25"/>
    <row r="591" spans="8:17" ht="15.75" customHeight="1" x14ac:dyDescent="0.25"/>
    <row r="592" spans="8:1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spans="8:17" ht="15.75" customHeight="1" x14ac:dyDescent="0.25"/>
    <row r="626" spans="8:17" ht="15.75" customHeight="1" x14ac:dyDescent="0.25"/>
    <row r="627" spans="8:17" ht="15.75" customHeight="1" x14ac:dyDescent="0.25"/>
    <row r="628" spans="8:17" ht="15.75" customHeight="1" x14ac:dyDescent="0.25"/>
    <row r="629" spans="8:17" ht="15.75" customHeight="1" x14ac:dyDescent="0.25"/>
    <row r="630" spans="8:17" ht="15.75" customHeight="1" x14ac:dyDescent="0.25"/>
    <row r="631" spans="8:17" ht="15.75" customHeight="1" x14ac:dyDescent="0.25"/>
    <row r="632" spans="8:17" ht="15.75" customHeight="1" x14ac:dyDescent="0.25"/>
    <row r="633" spans="8:17" ht="15.75" customHeight="1" x14ac:dyDescent="0.25"/>
    <row r="634" spans="8:17" ht="15.75" customHeight="1" x14ac:dyDescent="0.25"/>
    <row r="635" spans="8:17" ht="15.75" customHeight="1" x14ac:dyDescent="0.25"/>
    <row r="636" spans="8:17" ht="15.75" customHeight="1" x14ac:dyDescent="0.25"/>
    <row r="637" spans="8:17" ht="15.75" customHeight="1" x14ac:dyDescent="0.25"/>
    <row r="638" spans="8:17" ht="15.75" customHeight="1" x14ac:dyDescent="0.25">
      <c r="H638" s="2"/>
      <c r="I638" s="2"/>
      <c r="Q638" s="2"/>
    </row>
    <row r="639" spans="8:17" ht="15.75" customHeight="1" x14ac:dyDescent="0.25"/>
    <row r="640" spans="8:17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spans="8:17" ht="15.75" customHeight="1" x14ac:dyDescent="0.25"/>
    <row r="674" spans="8:17" ht="15.75" customHeight="1" x14ac:dyDescent="0.25"/>
    <row r="675" spans="8:17" ht="15.75" customHeight="1" x14ac:dyDescent="0.25"/>
    <row r="676" spans="8:17" ht="15.75" customHeight="1" x14ac:dyDescent="0.25"/>
    <row r="677" spans="8:17" ht="15.75" customHeight="1" x14ac:dyDescent="0.25"/>
    <row r="678" spans="8:17" ht="15.75" customHeight="1" x14ac:dyDescent="0.25"/>
    <row r="679" spans="8:17" ht="15.75" customHeight="1" x14ac:dyDescent="0.25"/>
    <row r="680" spans="8:17" ht="15.75" customHeight="1" x14ac:dyDescent="0.25"/>
    <row r="681" spans="8:17" ht="15.75" customHeight="1" x14ac:dyDescent="0.25"/>
    <row r="682" spans="8:17" ht="15.75" customHeight="1" x14ac:dyDescent="0.25"/>
    <row r="683" spans="8:17" ht="15.75" customHeight="1" x14ac:dyDescent="0.25"/>
    <row r="684" spans="8:17" ht="15.75" customHeight="1" x14ac:dyDescent="0.25"/>
    <row r="685" spans="8:17" ht="15.75" customHeight="1" x14ac:dyDescent="0.25"/>
    <row r="686" spans="8:17" ht="15.75" customHeight="1" x14ac:dyDescent="0.25"/>
    <row r="687" spans="8:17" ht="15.75" customHeight="1" x14ac:dyDescent="0.25"/>
    <row r="688" spans="8:17" ht="15.75" customHeight="1" x14ac:dyDescent="0.25">
      <c r="H688" s="2"/>
      <c r="I688" s="2"/>
      <c r="Q688" s="2"/>
    </row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9185-BE9E-463D-B15B-93092F1BAC43}">
  <dimension ref="A1:O1000"/>
  <sheetViews>
    <sheetView topLeftCell="F1" zoomScale="80" zoomScaleNormal="80" workbookViewId="0">
      <pane ySplit="1" topLeftCell="A2" activePane="bottomLeft" state="frozen"/>
      <selection activeCell="C1" sqref="C1"/>
      <selection pane="bottomLeft" activeCell="M3" sqref="M3"/>
    </sheetView>
  </sheetViews>
  <sheetFormatPr defaultColWidth="14.42578125" defaultRowHeight="15" customHeight="1" x14ac:dyDescent="0.25"/>
  <cols>
    <col min="1" max="1" width="14.85546875" style="43" bestFit="1" customWidth="1"/>
    <col min="2" max="2" width="24.28515625" style="5" customWidth="1"/>
    <col min="3" max="3" width="29.140625" style="5" customWidth="1"/>
    <col min="4" max="4" width="38.28515625" style="5" customWidth="1"/>
    <col min="5" max="5" width="41.140625" style="5" customWidth="1"/>
    <col min="6" max="6" width="16.28515625" style="5" customWidth="1"/>
    <col min="7" max="7" width="25.140625" style="5" customWidth="1"/>
    <col min="8" max="8" width="30.140625" style="5" bestFit="1" customWidth="1"/>
    <col min="9" max="9" width="25.28515625" style="3" bestFit="1" customWidth="1"/>
    <col min="10" max="10" width="28.140625" style="5" bestFit="1" customWidth="1"/>
    <col min="11" max="11" width="19.28515625" style="5" bestFit="1" customWidth="1"/>
    <col min="12" max="12" width="31.28515625" style="5" bestFit="1" customWidth="1"/>
    <col min="13" max="13" width="19.140625" style="5" bestFit="1" customWidth="1"/>
    <col min="14" max="14" width="39.28515625" style="5" bestFit="1" customWidth="1"/>
    <col min="15" max="15" width="8.7109375" style="4" customWidth="1"/>
    <col min="16" max="23" width="8.7109375" customWidth="1"/>
  </cols>
  <sheetData>
    <row r="1" spans="1:14" s="7" customFormat="1" ht="15.75" thickBot="1" x14ac:dyDescent="0.35">
      <c r="A1" s="48" t="s">
        <v>0</v>
      </c>
      <c r="B1" s="31" t="s">
        <v>2</v>
      </c>
      <c r="C1" s="31" t="s">
        <v>3</v>
      </c>
      <c r="D1" s="31" t="s">
        <v>4</v>
      </c>
      <c r="E1" s="31" t="s">
        <v>5</v>
      </c>
      <c r="F1" s="44" t="s">
        <v>6</v>
      </c>
      <c r="G1" s="39" t="s">
        <v>7</v>
      </c>
      <c r="H1" s="39" t="s">
        <v>1562</v>
      </c>
      <c r="I1" s="40" t="s">
        <v>11</v>
      </c>
      <c r="J1" s="39" t="s">
        <v>12</v>
      </c>
      <c r="K1" s="39" t="s">
        <v>13</v>
      </c>
      <c r="L1" s="39" t="s">
        <v>14</v>
      </c>
      <c r="M1" s="39" t="s">
        <v>15</v>
      </c>
      <c r="N1" s="41" t="s">
        <v>16</v>
      </c>
    </row>
    <row r="2" spans="1:14" s="4" customFormat="1" x14ac:dyDescent="0.25">
      <c r="A2" s="49">
        <v>3556</v>
      </c>
      <c r="B2" s="32" t="s">
        <v>19</v>
      </c>
      <c r="C2" s="32" t="s">
        <v>20</v>
      </c>
      <c r="D2" s="32" t="s">
        <v>21</v>
      </c>
      <c r="E2" s="32" t="s">
        <v>22</v>
      </c>
      <c r="F2" s="45" t="s">
        <v>23</v>
      </c>
      <c r="G2" s="37" t="s">
        <v>24</v>
      </c>
      <c r="H2" s="37" t="s">
        <v>1364</v>
      </c>
      <c r="I2" s="38">
        <v>1</v>
      </c>
      <c r="J2" s="37" t="s">
        <v>27</v>
      </c>
      <c r="K2" s="37" t="s">
        <v>28</v>
      </c>
      <c r="L2" s="37" t="s">
        <v>29</v>
      </c>
      <c r="M2" s="37" t="s">
        <v>30</v>
      </c>
      <c r="N2" s="37" t="s">
        <v>31</v>
      </c>
    </row>
    <row r="3" spans="1:14" s="4" customFormat="1" x14ac:dyDescent="0.25">
      <c r="A3" s="49">
        <v>3902.5</v>
      </c>
      <c r="B3" s="32" t="s">
        <v>19</v>
      </c>
      <c r="C3" s="32" t="s">
        <v>20</v>
      </c>
      <c r="D3" s="32" t="s">
        <v>21</v>
      </c>
      <c r="E3" s="32" t="s">
        <v>22</v>
      </c>
      <c r="F3" s="46" t="s">
        <v>33</v>
      </c>
      <c r="G3" s="32" t="s">
        <v>34</v>
      </c>
      <c r="H3" s="32" t="s">
        <v>1365</v>
      </c>
      <c r="I3" s="34">
        <v>1</v>
      </c>
      <c r="J3" s="32" t="s">
        <v>27</v>
      </c>
      <c r="K3" s="32" t="s">
        <v>28</v>
      </c>
      <c r="L3" s="32" t="s">
        <v>29</v>
      </c>
      <c r="M3" s="32" t="s">
        <v>36</v>
      </c>
      <c r="N3" s="32" t="s">
        <v>37</v>
      </c>
    </row>
    <row r="4" spans="1:14" s="4" customFormat="1" x14ac:dyDescent="0.25">
      <c r="A4" s="49">
        <v>3160.5</v>
      </c>
      <c r="B4" s="32" t="s">
        <v>19</v>
      </c>
      <c r="C4" s="32" t="s">
        <v>20</v>
      </c>
      <c r="D4" s="32" t="s">
        <v>21</v>
      </c>
      <c r="E4" s="32" t="s">
        <v>22</v>
      </c>
      <c r="F4" s="46" t="s">
        <v>39</v>
      </c>
      <c r="G4" s="32" t="s">
        <v>40</v>
      </c>
      <c r="H4" s="32" t="s">
        <v>1366</v>
      </c>
      <c r="I4" s="34">
        <v>1</v>
      </c>
      <c r="J4" s="32" t="s">
        <v>27</v>
      </c>
      <c r="K4" s="32" t="s">
        <v>28</v>
      </c>
      <c r="L4" s="32" t="s">
        <v>29</v>
      </c>
      <c r="M4" s="32" t="s">
        <v>42</v>
      </c>
      <c r="N4" s="32" t="s">
        <v>43</v>
      </c>
    </row>
    <row r="5" spans="1:14" s="4" customFormat="1" x14ac:dyDescent="0.25">
      <c r="A5" s="49">
        <v>3711.5</v>
      </c>
      <c r="B5" s="32" t="s">
        <v>19</v>
      </c>
      <c r="C5" s="32" t="s">
        <v>20</v>
      </c>
      <c r="D5" s="32" t="s">
        <v>21</v>
      </c>
      <c r="E5" s="32" t="s">
        <v>22</v>
      </c>
      <c r="F5" s="46" t="s">
        <v>39</v>
      </c>
      <c r="G5" s="32" t="s">
        <v>45</v>
      </c>
      <c r="H5" s="32" t="s">
        <v>1367</v>
      </c>
      <c r="I5" s="34">
        <v>1</v>
      </c>
      <c r="J5" s="32" t="s">
        <v>27</v>
      </c>
      <c r="K5" s="32" t="s">
        <v>28</v>
      </c>
      <c r="L5" s="32" t="s">
        <v>29</v>
      </c>
      <c r="M5" s="32" t="s">
        <v>42</v>
      </c>
      <c r="N5" s="32" t="s">
        <v>47</v>
      </c>
    </row>
    <row r="6" spans="1:14" s="4" customFormat="1" x14ac:dyDescent="0.25">
      <c r="A6" s="49">
        <v>3340.5</v>
      </c>
      <c r="B6" s="32" t="s">
        <v>19</v>
      </c>
      <c r="C6" s="32" t="s">
        <v>20</v>
      </c>
      <c r="D6" s="32" t="s">
        <v>21</v>
      </c>
      <c r="E6" s="32" t="s">
        <v>22</v>
      </c>
      <c r="F6" s="46" t="s">
        <v>49</v>
      </c>
      <c r="G6" s="32" t="s">
        <v>50</v>
      </c>
      <c r="H6" s="32" t="s">
        <v>1368</v>
      </c>
      <c r="I6" s="34">
        <v>1</v>
      </c>
      <c r="J6" s="32" t="s">
        <v>27</v>
      </c>
      <c r="K6" s="32" t="s">
        <v>28</v>
      </c>
      <c r="L6" s="32" t="s">
        <v>29</v>
      </c>
      <c r="M6" s="32" t="s">
        <v>52</v>
      </c>
      <c r="N6" s="32" t="s">
        <v>53</v>
      </c>
    </row>
    <row r="7" spans="1:14" s="4" customFormat="1" x14ac:dyDescent="0.25">
      <c r="A7" s="49">
        <v>4274</v>
      </c>
      <c r="B7" s="32" t="s">
        <v>19</v>
      </c>
      <c r="C7" s="32" t="s">
        <v>20</v>
      </c>
      <c r="D7" s="32" t="s">
        <v>21</v>
      </c>
      <c r="E7" s="32" t="s">
        <v>22</v>
      </c>
      <c r="F7" s="46" t="s">
        <v>55</v>
      </c>
      <c r="G7" s="32" t="s">
        <v>56</v>
      </c>
      <c r="H7" s="32" t="s">
        <v>1369</v>
      </c>
      <c r="I7" s="34">
        <v>1</v>
      </c>
      <c r="J7" s="32" t="s">
        <v>27</v>
      </c>
      <c r="K7" s="32" t="s">
        <v>28</v>
      </c>
      <c r="L7" s="32" t="s">
        <v>29</v>
      </c>
      <c r="M7" s="32" t="s">
        <v>58</v>
      </c>
      <c r="N7" s="32" t="s">
        <v>59</v>
      </c>
    </row>
    <row r="8" spans="1:14" s="4" customFormat="1" x14ac:dyDescent="0.25">
      <c r="A8" s="49">
        <v>-194.51</v>
      </c>
      <c r="B8" s="32" t="s">
        <v>19</v>
      </c>
      <c r="C8" s="32" t="s">
        <v>20</v>
      </c>
      <c r="D8" s="32" t="s">
        <v>21</v>
      </c>
      <c r="E8" s="32" t="s">
        <v>22</v>
      </c>
      <c r="F8" s="46" t="s">
        <v>61</v>
      </c>
      <c r="G8" s="32" t="s">
        <v>62</v>
      </c>
      <c r="H8" s="32" t="s">
        <v>1370</v>
      </c>
      <c r="I8" s="34">
        <v>2</v>
      </c>
      <c r="J8" s="32" t="s">
        <v>27</v>
      </c>
      <c r="K8" s="32" t="s">
        <v>28</v>
      </c>
      <c r="L8" s="32" t="s">
        <v>29</v>
      </c>
      <c r="M8" s="32" t="s">
        <v>65</v>
      </c>
      <c r="N8" s="32" t="s">
        <v>66</v>
      </c>
    </row>
    <row r="9" spans="1:14" s="4" customFormat="1" x14ac:dyDescent="0.25">
      <c r="A9" s="49">
        <v>5212</v>
      </c>
      <c r="B9" s="32" t="s">
        <v>19</v>
      </c>
      <c r="C9" s="32" t="s">
        <v>20</v>
      </c>
      <c r="D9" s="32" t="s">
        <v>21</v>
      </c>
      <c r="E9" s="32" t="s">
        <v>22</v>
      </c>
      <c r="F9" s="46" t="s">
        <v>68</v>
      </c>
      <c r="G9" s="32" t="s">
        <v>69</v>
      </c>
      <c r="H9" s="32" t="s">
        <v>1371</v>
      </c>
      <c r="I9" s="34">
        <v>2</v>
      </c>
      <c r="J9" s="32" t="s">
        <v>27</v>
      </c>
      <c r="K9" s="32" t="s">
        <v>28</v>
      </c>
      <c r="L9" s="32" t="s">
        <v>29</v>
      </c>
      <c r="M9" s="32" t="s">
        <v>71</v>
      </c>
      <c r="N9" s="32" t="s">
        <v>72</v>
      </c>
    </row>
    <row r="10" spans="1:14" s="4" customFormat="1" x14ac:dyDescent="0.25">
      <c r="A10" s="49">
        <v>3902.5</v>
      </c>
      <c r="B10" s="32" t="s">
        <v>19</v>
      </c>
      <c r="C10" s="32" t="s">
        <v>20</v>
      </c>
      <c r="D10" s="32" t="s">
        <v>21</v>
      </c>
      <c r="E10" s="32" t="s">
        <v>22</v>
      </c>
      <c r="F10" s="46" t="s">
        <v>33</v>
      </c>
      <c r="G10" s="32" t="s">
        <v>34</v>
      </c>
      <c r="H10" s="32" t="s">
        <v>1365</v>
      </c>
      <c r="I10" s="34">
        <v>2</v>
      </c>
      <c r="J10" s="32" t="s">
        <v>27</v>
      </c>
      <c r="K10" s="32" t="s">
        <v>28</v>
      </c>
      <c r="L10" s="32" t="s">
        <v>29</v>
      </c>
      <c r="M10" s="32" t="s">
        <v>36</v>
      </c>
      <c r="N10" s="32" t="s">
        <v>73</v>
      </c>
    </row>
    <row r="11" spans="1:14" s="4" customFormat="1" x14ac:dyDescent="0.25">
      <c r="A11" s="49">
        <v>2542.5</v>
      </c>
      <c r="B11" s="32" t="s">
        <v>19</v>
      </c>
      <c r="C11" s="32" t="s">
        <v>20</v>
      </c>
      <c r="D11" s="32" t="s">
        <v>21</v>
      </c>
      <c r="E11" s="32" t="s">
        <v>22</v>
      </c>
      <c r="F11" s="46" t="s">
        <v>75</v>
      </c>
      <c r="G11" s="32" t="s">
        <v>76</v>
      </c>
      <c r="H11" s="32" t="s">
        <v>1372</v>
      </c>
      <c r="I11" s="34">
        <v>2</v>
      </c>
      <c r="J11" s="32" t="s">
        <v>27</v>
      </c>
      <c r="K11" s="32" t="s">
        <v>28</v>
      </c>
      <c r="L11" s="32" t="s">
        <v>29</v>
      </c>
      <c r="M11" s="32" t="s">
        <v>78</v>
      </c>
      <c r="N11" s="32" t="s">
        <v>79</v>
      </c>
    </row>
    <row r="12" spans="1:14" s="4" customFormat="1" x14ac:dyDescent="0.25">
      <c r="A12" s="49">
        <v>3240.5</v>
      </c>
      <c r="B12" s="32" t="s">
        <v>19</v>
      </c>
      <c r="C12" s="32" t="s">
        <v>20</v>
      </c>
      <c r="D12" s="32" t="s">
        <v>21</v>
      </c>
      <c r="E12" s="32" t="s">
        <v>22</v>
      </c>
      <c r="F12" s="46" t="s">
        <v>75</v>
      </c>
      <c r="G12" s="32" t="s">
        <v>81</v>
      </c>
      <c r="H12" s="32" t="s">
        <v>1373</v>
      </c>
      <c r="I12" s="34">
        <v>2</v>
      </c>
      <c r="J12" s="32" t="s">
        <v>27</v>
      </c>
      <c r="K12" s="32" t="s">
        <v>28</v>
      </c>
      <c r="L12" s="32" t="s">
        <v>29</v>
      </c>
      <c r="M12" s="32" t="s">
        <v>78</v>
      </c>
      <c r="N12" s="32" t="s">
        <v>83</v>
      </c>
    </row>
    <row r="13" spans="1:14" s="4" customFormat="1" x14ac:dyDescent="0.25">
      <c r="A13" s="49">
        <v>3711.5</v>
      </c>
      <c r="B13" s="32" t="s">
        <v>19</v>
      </c>
      <c r="C13" s="32" t="s">
        <v>20</v>
      </c>
      <c r="D13" s="32" t="s">
        <v>21</v>
      </c>
      <c r="E13" s="32" t="s">
        <v>22</v>
      </c>
      <c r="F13" s="46" t="s">
        <v>39</v>
      </c>
      <c r="G13" s="32" t="s">
        <v>45</v>
      </c>
      <c r="H13" s="32" t="s">
        <v>1367</v>
      </c>
      <c r="I13" s="34">
        <v>2</v>
      </c>
      <c r="J13" s="32" t="s">
        <v>27</v>
      </c>
      <c r="K13" s="32" t="s">
        <v>28</v>
      </c>
      <c r="L13" s="32" t="s">
        <v>29</v>
      </c>
      <c r="M13" s="32" t="s">
        <v>42</v>
      </c>
      <c r="N13" s="32" t="s">
        <v>84</v>
      </c>
    </row>
    <row r="14" spans="1:14" s="4" customFormat="1" x14ac:dyDescent="0.25">
      <c r="A14" s="49">
        <v>4534</v>
      </c>
      <c r="B14" s="32" t="s">
        <v>19</v>
      </c>
      <c r="C14" s="32" t="s">
        <v>20</v>
      </c>
      <c r="D14" s="32" t="s">
        <v>86</v>
      </c>
      <c r="E14" s="32" t="s">
        <v>22</v>
      </c>
      <c r="F14" s="46" t="s">
        <v>61</v>
      </c>
      <c r="G14" s="32" t="s">
        <v>87</v>
      </c>
      <c r="H14" s="32" t="s">
        <v>1374</v>
      </c>
      <c r="I14" s="34">
        <v>3</v>
      </c>
      <c r="J14" s="32" t="s">
        <v>89</v>
      </c>
      <c r="K14" s="32" t="s">
        <v>28</v>
      </c>
      <c r="L14" s="32" t="s">
        <v>29</v>
      </c>
      <c r="M14" s="32" t="s">
        <v>65</v>
      </c>
      <c r="N14" s="32" t="s">
        <v>90</v>
      </c>
    </row>
    <row r="15" spans="1:14" s="4" customFormat="1" x14ac:dyDescent="0.25">
      <c r="A15" s="49">
        <v>3607.5</v>
      </c>
      <c r="B15" s="32" t="s">
        <v>19</v>
      </c>
      <c r="C15" s="32" t="s">
        <v>20</v>
      </c>
      <c r="D15" s="32" t="s">
        <v>86</v>
      </c>
      <c r="E15" s="32" t="s">
        <v>22</v>
      </c>
      <c r="F15" s="46" t="s">
        <v>92</v>
      </c>
      <c r="G15" s="32" t="s">
        <v>93</v>
      </c>
      <c r="H15" s="32" t="s">
        <v>1375</v>
      </c>
      <c r="I15" s="34">
        <v>3</v>
      </c>
      <c r="J15" s="32" t="s">
        <v>89</v>
      </c>
      <c r="K15" s="32" t="s">
        <v>28</v>
      </c>
      <c r="L15" s="32" t="s">
        <v>29</v>
      </c>
      <c r="M15" s="32" t="s">
        <v>95</v>
      </c>
      <c r="N15" s="32" t="s">
        <v>96</v>
      </c>
    </row>
    <row r="16" spans="1:14" s="4" customFormat="1" x14ac:dyDescent="0.25">
      <c r="A16" s="49">
        <v>4766</v>
      </c>
      <c r="B16" s="32" t="s">
        <v>19</v>
      </c>
      <c r="C16" s="32" t="s">
        <v>20</v>
      </c>
      <c r="D16" s="32" t="s">
        <v>86</v>
      </c>
      <c r="E16" s="32" t="s">
        <v>22</v>
      </c>
      <c r="F16" s="46" t="s">
        <v>98</v>
      </c>
      <c r="G16" s="32" t="s">
        <v>99</v>
      </c>
      <c r="H16" s="32" t="s">
        <v>1376</v>
      </c>
      <c r="I16" s="34">
        <v>3</v>
      </c>
      <c r="J16" s="32" t="s">
        <v>89</v>
      </c>
      <c r="K16" s="32" t="s">
        <v>28</v>
      </c>
      <c r="L16" s="32" t="s">
        <v>29</v>
      </c>
      <c r="M16" s="32" t="s">
        <v>101</v>
      </c>
      <c r="N16" s="32" t="s">
        <v>102</v>
      </c>
    </row>
    <row r="17" spans="1:15" x14ac:dyDescent="0.25">
      <c r="A17" s="49">
        <v>2708</v>
      </c>
      <c r="B17" s="32" t="s">
        <v>19</v>
      </c>
      <c r="C17" s="32" t="s">
        <v>20</v>
      </c>
      <c r="D17" s="32" t="s">
        <v>21</v>
      </c>
      <c r="E17" s="32" t="s">
        <v>22</v>
      </c>
      <c r="F17" s="46" t="s">
        <v>104</v>
      </c>
      <c r="G17" s="32" t="s">
        <v>105</v>
      </c>
      <c r="H17" s="32" t="s">
        <v>1377</v>
      </c>
      <c r="I17" s="34">
        <v>3</v>
      </c>
      <c r="J17" s="32" t="s">
        <v>27</v>
      </c>
      <c r="K17" s="32" t="s">
        <v>28</v>
      </c>
      <c r="L17" s="32" t="s">
        <v>29</v>
      </c>
      <c r="M17" s="32" t="s">
        <v>107</v>
      </c>
      <c r="N17" s="32" t="s">
        <v>108</v>
      </c>
    </row>
    <row r="18" spans="1:15" x14ac:dyDescent="0.25">
      <c r="A18" s="49">
        <v>4536</v>
      </c>
      <c r="B18" s="32" t="s">
        <v>19</v>
      </c>
      <c r="C18" s="32" t="s">
        <v>20</v>
      </c>
      <c r="D18" s="32" t="s">
        <v>21</v>
      </c>
      <c r="E18" s="32" t="s">
        <v>22</v>
      </c>
      <c r="F18" s="46" t="s">
        <v>110</v>
      </c>
      <c r="G18" s="35" t="s">
        <v>111</v>
      </c>
      <c r="H18" s="32" t="s">
        <v>1378</v>
      </c>
      <c r="I18" s="34">
        <v>3</v>
      </c>
      <c r="J18" s="32" t="s">
        <v>27</v>
      </c>
      <c r="K18" s="32" t="s">
        <v>28</v>
      </c>
      <c r="L18" s="32" t="s">
        <v>29</v>
      </c>
      <c r="M18" s="32" t="s">
        <v>113</v>
      </c>
      <c r="N18" s="35" t="s">
        <v>114</v>
      </c>
    </row>
    <row r="19" spans="1:15" x14ac:dyDescent="0.25">
      <c r="A19" s="49">
        <v>4271.5</v>
      </c>
      <c r="B19" s="32" t="s">
        <v>19</v>
      </c>
      <c r="C19" s="32" t="s">
        <v>20</v>
      </c>
      <c r="D19" s="32" t="s">
        <v>21</v>
      </c>
      <c r="E19" s="32" t="s">
        <v>22</v>
      </c>
      <c r="F19" s="46" t="s">
        <v>116</v>
      </c>
      <c r="G19" s="32" t="s">
        <v>117</v>
      </c>
      <c r="H19" s="32" t="s">
        <v>1379</v>
      </c>
      <c r="I19" s="34">
        <v>3</v>
      </c>
      <c r="J19" s="32" t="s">
        <v>27</v>
      </c>
      <c r="K19" s="32" t="s">
        <v>28</v>
      </c>
      <c r="L19" s="32" t="s">
        <v>29</v>
      </c>
      <c r="M19" s="32" t="s">
        <v>119</v>
      </c>
      <c r="N19" s="32" t="s">
        <v>120</v>
      </c>
    </row>
    <row r="20" spans="1:15" x14ac:dyDescent="0.25">
      <c r="A20" s="49">
        <v>4534</v>
      </c>
      <c r="B20" s="32" t="s">
        <v>19</v>
      </c>
      <c r="C20" s="32" t="s">
        <v>20</v>
      </c>
      <c r="D20" s="32" t="s">
        <v>86</v>
      </c>
      <c r="E20" s="32" t="s">
        <v>22</v>
      </c>
      <c r="F20" s="46" t="s">
        <v>61</v>
      </c>
      <c r="G20" s="32" t="s">
        <v>87</v>
      </c>
      <c r="H20" s="32" t="s">
        <v>1374</v>
      </c>
      <c r="I20" s="34">
        <v>4</v>
      </c>
      <c r="J20" s="32" t="s">
        <v>89</v>
      </c>
      <c r="K20" s="32" t="s">
        <v>28</v>
      </c>
      <c r="L20" s="32" t="s">
        <v>29</v>
      </c>
      <c r="M20" s="32" t="s">
        <v>65</v>
      </c>
      <c r="N20" s="32" t="s">
        <v>121</v>
      </c>
    </row>
    <row r="21" spans="1:15" ht="15.75" customHeight="1" x14ac:dyDescent="0.25">
      <c r="A21" s="49">
        <v>362.22</v>
      </c>
      <c r="B21" s="32" t="s">
        <v>19</v>
      </c>
      <c r="C21" s="32" t="s">
        <v>123</v>
      </c>
      <c r="D21" s="32" t="s">
        <v>124</v>
      </c>
      <c r="E21" s="32" t="s">
        <v>125</v>
      </c>
      <c r="F21" s="46" t="s">
        <v>126</v>
      </c>
      <c r="G21" s="32" t="s">
        <v>127</v>
      </c>
      <c r="H21" s="32" t="s">
        <v>1380</v>
      </c>
      <c r="I21" s="34">
        <v>9</v>
      </c>
      <c r="J21" s="32" t="s">
        <v>130</v>
      </c>
      <c r="K21" s="32" t="s">
        <v>28</v>
      </c>
      <c r="L21" s="32" t="s">
        <v>131</v>
      </c>
      <c r="M21" s="32" t="s">
        <v>132</v>
      </c>
      <c r="N21" s="32" t="s">
        <v>133</v>
      </c>
    </row>
    <row r="22" spans="1:15" ht="15.75" customHeight="1" x14ac:dyDescent="0.25">
      <c r="A22" s="50">
        <v>735.43</v>
      </c>
      <c r="B22" s="36" t="s">
        <v>19</v>
      </c>
      <c r="C22" s="36" t="s">
        <v>123</v>
      </c>
      <c r="D22" s="36" t="s">
        <v>124</v>
      </c>
      <c r="E22" s="36" t="s">
        <v>125</v>
      </c>
      <c r="F22" s="47" t="s">
        <v>135</v>
      </c>
      <c r="G22" s="36" t="s">
        <v>136</v>
      </c>
      <c r="H22" s="36" t="s">
        <v>1381</v>
      </c>
      <c r="I22" s="34">
        <v>11</v>
      </c>
      <c r="J22" s="36" t="s">
        <v>130</v>
      </c>
      <c r="K22" s="36" t="s">
        <v>28</v>
      </c>
      <c r="L22" s="36" t="s">
        <v>131</v>
      </c>
      <c r="M22" s="36" t="s">
        <v>138</v>
      </c>
      <c r="N22" s="36" t="s">
        <v>139</v>
      </c>
      <c r="O22"/>
    </row>
    <row r="23" spans="1:15" ht="15.75" customHeight="1" x14ac:dyDescent="0.25">
      <c r="A23" s="49">
        <v>3902.5</v>
      </c>
      <c r="B23" s="32" t="s">
        <v>19</v>
      </c>
      <c r="C23" s="32" t="s">
        <v>20</v>
      </c>
      <c r="D23" s="32" t="s">
        <v>21</v>
      </c>
      <c r="E23" s="32" t="s">
        <v>22</v>
      </c>
      <c r="F23" s="46" t="s">
        <v>33</v>
      </c>
      <c r="G23" s="32" t="s">
        <v>34</v>
      </c>
      <c r="H23" s="32" t="s">
        <v>1365</v>
      </c>
      <c r="I23" s="34">
        <v>4</v>
      </c>
      <c r="J23" s="32" t="s">
        <v>27</v>
      </c>
      <c r="K23" s="32" t="s">
        <v>28</v>
      </c>
      <c r="L23" s="32" t="s">
        <v>29</v>
      </c>
      <c r="M23" s="32" t="s">
        <v>36</v>
      </c>
      <c r="N23" s="32" t="s">
        <v>140</v>
      </c>
    </row>
    <row r="24" spans="1:15" ht="15.75" customHeight="1" x14ac:dyDescent="0.25">
      <c r="A24" s="49">
        <v>4534</v>
      </c>
      <c r="B24" s="32" t="s">
        <v>19</v>
      </c>
      <c r="C24" s="32" t="s">
        <v>20</v>
      </c>
      <c r="D24" s="32" t="s">
        <v>21</v>
      </c>
      <c r="E24" s="32" t="s">
        <v>22</v>
      </c>
      <c r="F24" s="46" t="s">
        <v>61</v>
      </c>
      <c r="G24" s="32" t="s">
        <v>141</v>
      </c>
      <c r="H24" s="32" t="s">
        <v>1382</v>
      </c>
      <c r="I24" s="34">
        <v>4</v>
      </c>
      <c r="J24" s="32" t="s">
        <v>27</v>
      </c>
      <c r="K24" s="32" t="s">
        <v>28</v>
      </c>
      <c r="L24" s="32" t="s">
        <v>29</v>
      </c>
      <c r="M24" s="32" t="s">
        <v>65</v>
      </c>
      <c r="N24" s="32" t="s">
        <v>143</v>
      </c>
    </row>
    <row r="25" spans="1:15" ht="15.75" customHeight="1" x14ac:dyDescent="0.25">
      <c r="A25" s="49">
        <v>4134.5</v>
      </c>
      <c r="B25" s="32" t="s">
        <v>19</v>
      </c>
      <c r="C25" s="32" t="s">
        <v>20</v>
      </c>
      <c r="D25" s="32" t="s">
        <v>21</v>
      </c>
      <c r="E25" s="32" t="s">
        <v>22</v>
      </c>
      <c r="F25" s="46" t="s">
        <v>145</v>
      </c>
      <c r="G25" s="32" t="s">
        <v>146</v>
      </c>
      <c r="H25" s="32" t="s">
        <v>1383</v>
      </c>
      <c r="I25" s="34">
        <v>4</v>
      </c>
      <c r="J25" s="32" t="s">
        <v>27</v>
      </c>
      <c r="K25" s="32" t="s">
        <v>28</v>
      </c>
      <c r="L25" s="32" t="s">
        <v>29</v>
      </c>
      <c r="M25" s="32" t="s">
        <v>148</v>
      </c>
      <c r="N25" s="32" t="s">
        <v>149</v>
      </c>
    </row>
    <row r="26" spans="1:15" ht="15.75" customHeight="1" x14ac:dyDescent="0.25">
      <c r="A26" s="49">
        <v>3711.5</v>
      </c>
      <c r="B26" s="32" t="s">
        <v>19</v>
      </c>
      <c r="C26" s="32" t="s">
        <v>20</v>
      </c>
      <c r="D26" s="32" t="s">
        <v>21</v>
      </c>
      <c r="E26" s="32" t="s">
        <v>22</v>
      </c>
      <c r="F26" s="46" t="s">
        <v>39</v>
      </c>
      <c r="G26" s="32" t="s">
        <v>45</v>
      </c>
      <c r="H26" s="32" t="s">
        <v>1367</v>
      </c>
      <c r="I26" s="34">
        <v>4</v>
      </c>
      <c r="J26" s="32" t="s">
        <v>27</v>
      </c>
      <c r="K26" s="32" t="s">
        <v>28</v>
      </c>
      <c r="L26" s="32" t="s">
        <v>29</v>
      </c>
      <c r="M26" s="32" t="s">
        <v>42</v>
      </c>
      <c r="N26" s="32" t="s">
        <v>150</v>
      </c>
    </row>
    <row r="27" spans="1:15" ht="15.75" customHeight="1" x14ac:dyDescent="0.25">
      <c r="A27" s="49">
        <v>2783.5</v>
      </c>
      <c r="B27" s="32" t="s">
        <v>19</v>
      </c>
      <c r="C27" s="32" t="s">
        <v>20</v>
      </c>
      <c r="D27" s="32" t="s">
        <v>21</v>
      </c>
      <c r="E27" s="32" t="s">
        <v>22</v>
      </c>
      <c r="F27" s="46" t="s">
        <v>152</v>
      </c>
      <c r="G27" s="32" t="s">
        <v>153</v>
      </c>
      <c r="H27" s="32" t="s">
        <v>1384</v>
      </c>
      <c r="I27" s="34">
        <v>4</v>
      </c>
      <c r="J27" s="32" t="s">
        <v>27</v>
      </c>
      <c r="K27" s="32" t="s">
        <v>28</v>
      </c>
      <c r="L27" s="32" t="s">
        <v>29</v>
      </c>
      <c r="M27" s="32" t="s">
        <v>155</v>
      </c>
      <c r="N27" s="32" t="s">
        <v>156</v>
      </c>
    </row>
    <row r="28" spans="1:15" ht="15.75" customHeight="1" x14ac:dyDescent="0.25">
      <c r="A28" s="49">
        <v>3278</v>
      </c>
      <c r="B28" s="32" t="s">
        <v>19</v>
      </c>
      <c r="C28" s="32" t="s">
        <v>20</v>
      </c>
      <c r="D28" s="32" t="s">
        <v>21</v>
      </c>
      <c r="E28" s="32" t="s">
        <v>22</v>
      </c>
      <c r="F28" s="46" t="s">
        <v>152</v>
      </c>
      <c r="G28" s="32" t="s">
        <v>158</v>
      </c>
      <c r="H28" s="32" t="s">
        <v>1385</v>
      </c>
      <c r="I28" s="34">
        <v>4</v>
      </c>
      <c r="J28" s="32" t="s">
        <v>27</v>
      </c>
      <c r="K28" s="32" t="s">
        <v>28</v>
      </c>
      <c r="L28" s="32" t="s">
        <v>29</v>
      </c>
      <c r="M28" s="32" t="s">
        <v>155</v>
      </c>
      <c r="N28" s="32" t="s">
        <v>160</v>
      </c>
    </row>
    <row r="29" spans="1:15" ht="15.75" customHeight="1" x14ac:dyDescent="0.25">
      <c r="A29" s="49">
        <v>2934.5</v>
      </c>
      <c r="B29" s="32" t="s">
        <v>19</v>
      </c>
      <c r="C29" s="32" t="s">
        <v>20</v>
      </c>
      <c r="D29" s="32" t="s">
        <v>21</v>
      </c>
      <c r="E29" s="32" t="s">
        <v>22</v>
      </c>
      <c r="F29" s="46" t="s">
        <v>49</v>
      </c>
      <c r="G29" s="32" t="s">
        <v>162</v>
      </c>
      <c r="H29" s="32" t="s">
        <v>1386</v>
      </c>
      <c r="I29" s="34">
        <v>4</v>
      </c>
      <c r="J29" s="32" t="s">
        <v>27</v>
      </c>
      <c r="K29" s="32" t="s">
        <v>28</v>
      </c>
      <c r="L29" s="32" t="s">
        <v>29</v>
      </c>
      <c r="M29" s="32" t="s">
        <v>52</v>
      </c>
      <c r="N29" s="32" t="s">
        <v>164</v>
      </c>
    </row>
    <row r="30" spans="1:15" ht="15.75" customHeight="1" x14ac:dyDescent="0.25">
      <c r="A30" s="49">
        <v>3340.5</v>
      </c>
      <c r="B30" s="32" t="s">
        <v>19</v>
      </c>
      <c r="C30" s="32" t="s">
        <v>20</v>
      </c>
      <c r="D30" s="32" t="s">
        <v>21</v>
      </c>
      <c r="E30" s="32" t="s">
        <v>22</v>
      </c>
      <c r="F30" s="46" t="s">
        <v>49</v>
      </c>
      <c r="G30" s="32" t="s">
        <v>50</v>
      </c>
      <c r="H30" s="32" t="s">
        <v>1368</v>
      </c>
      <c r="I30" s="34">
        <v>4</v>
      </c>
      <c r="J30" s="32" t="s">
        <v>27</v>
      </c>
      <c r="K30" s="32" t="s">
        <v>28</v>
      </c>
      <c r="L30" s="32" t="s">
        <v>29</v>
      </c>
      <c r="M30" s="32" t="s">
        <v>52</v>
      </c>
      <c r="N30" s="32" t="s">
        <v>165</v>
      </c>
    </row>
    <row r="31" spans="1:15" ht="15.75" customHeight="1" x14ac:dyDescent="0.25">
      <c r="A31" s="49">
        <v>5478</v>
      </c>
      <c r="B31" s="32" t="s">
        <v>19</v>
      </c>
      <c r="C31" s="32" t="s">
        <v>20</v>
      </c>
      <c r="D31" s="32" t="s">
        <v>21</v>
      </c>
      <c r="E31" s="32" t="s">
        <v>22</v>
      </c>
      <c r="F31" s="46" t="s">
        <v>167</v>
      </c>
      <c r="G31" s="32" t="s">
        <v>168</v>
      </c>
      <c r="H31" s="32" t="s">
        <v>1387</v>
      </c>
      <c r="I31" s="34">
        <v>4</v>
      </c>
      <c r="J31" s="32" t="s">
        <v>27</v>
      </c>
      <c r="K31" s="32" t="s">
        <v>28</v>
      </c>
      <c r="L31" s="32" t="s">
        <v>29</v>
      </c>
      <c r="M31" s="32" t="s">
        <v>170</v>
      </c>
      <c r="N31" s="32" t="s">
        <v>171</v>
      </c>
    </row>
    <row r="32" spans="1:15" ht="15.75" customHeight="1" x14ac:dyDescent="0.25">
      <c r="A32" s="49">
        <v>4534</v>
      </c>
      <c r="B32" s="32" t="s">
        <v>19</v>
      </c>
      <c r="C32" s="32" t="s">
        <v>20</v>
      </c>
      <c r="D32" s="32" t="s">
        <v>86</v>
      </c>
      <c r="E32" s="32" t="s">
        <v>22</v>
      </c>
      <c r="F32" s="46" t="s">
        <v>61</v>
      </c>
      <c r="G32" s="32" t="s">
        <v>87</v>
      </c>
      <c r="H32" s="32" t="s">
        <v>1374</v>
      </c>
      <c r="I32" s="34">
        <v>5</v>
      </c>
      <c r="J32" s="32" t="s">
        <v>89</v>
      </c>
      <c r="K32" s="32" t="s">
        <v>28</v>
      </c>
      <c r="L32" s="32" t="s">
        <v>29</v>
      </c>
      <c r="M32" s="32" t="s">
        <v>65</v>
      </c>
      <c r="N32" s="32" t="s">
        <v>172</v>
      </c>
    </row>
    <row r="33" spans="1:14" s="4" customFormat="1" ht="15.75" customHeight="1" x14ac:dyDescent="0.25">
      <c r="A33" s="49">
        <v>3055.5</v>
      </c>
      <c r="B33" s="32" t="s">
        <v>19</v>
      </c>
      <c r="C33" s="32" t="s">
        <v>20</v>
      </c>
      <c r="D33" s="32" t="s">
        <v>86</v>
      </c>
      <c r="E33" s="32" t="s">
        <v>22</v>
      </c>
      <c r="F33" s="46" t="s">
        <v>174</v>
      </c>
      <c r="G33" s="32" t="s">
        <v>175</v>
      </c>
      <c r="H33" s="32" t="s">
        <v>1388</v>
      </c>
      <c r="I33" s="34">
        <v>5</v>
      </c>
      <c r="J33" s="32" t="s">
        <v>89</v>
      </c>
      <c r="K33" s="32" t="s">
        <v>28</v>
      </c>
      <c r="L33" s="32" t="s">
        <v>29</v>
      </c>
      <c r="M33" s="32" t="s">
        <v>177</v>
      </c>
      <c r="N33" s="32" t="s">
        <v>178</v>
      </c>
    </row>
    <row r="34" spans="1:14" s="4" customFormat="1" ht="15.75" customHeight="1" x14ac:dyDescent="0.25">
      <c r="A34" s="49">
        <v>6111.5</v>
      </c>
      <c r="B34" s="32" t="s">
        <v>19</v>
      </c>
      <c r="C34" s="32" t="s">
        <v>20</v>
      </c>
      <c r="D34" s="32" t="s">
        <v>86</v>
      </c>
      <c r="E34" s="32" t="s">
        <v>22</v>
      </c>
      <c r="F34" s="46" t="s">
        <v>180</v>
      </c>
      <c r="G34" s="32" t="s">
        <v>181</v>
      </c>
      <c r="H34" s="32" t="s">
        <v>1389</v>
      </c>
      <c r="I34" s="34">
        <v>5</v>
      </c>
      <c r="J34" s="32" t="s">
        <v>89</v>
      </c>
      <c r="K34" s="32" t="s">
        <v>28</v>
      </c>
      <c r="L34" s="32" t="s">
        <v>29</v>
      </c>
      <c r="M34" s="32" t="s">
        <v>183</v>
      </c>
      <c r="N34" s="32" t="s">
        <v>184</v>
      </c>
    </row>
    <row r="35" spans="1:14" s="4" customFormat="1" ht="15.75" customHeight="1" x14ac:dyDescent="0.25">
      <c r="A35" s="49">
        <v>546.70000000000005</v>
      </c>
      <c r="B35" s="32" t="s">
        <v>19</v>
      </c>
      <c r="C35" s="32" t="s">
        <v>20</v>
      </c>
      <c r="D35" s="32" t="s">
        <v>86</v>
      </c>
      <c r="E35" s="32" t="s">
        <v>22</v>
      </c>
      <c r="F35" s="46" t="s">
        <v>186</v>
      </c>
      <c r="G35" s="32" t="s">
        <v>187</v>
      </c>
      <c r="H35" s="32" t="s">
        <v>1390</v>
      </c>
      <c r="I35" s="34">
        <v>5</v>
      </c>
      <c r="J35" s="32" t="s">
        <v>89</v>
      </c>
      <c r="K35" s="32" t="s">
        <v>28</v>
      </c>
      <c r="L35" s="32" t="s">
        <v>29</v>
      </c>
      <c r="M35" s="32" t="s">
        <v>190</v>
      </c>
      <c r="N35" s="32" t="s">
        <v>191</v>
      </c>
    </row>
    <row r="36" spans="1:14" s="4" customFormat="1" ht="15.75" customHeight="1" x14ac:dyDescent="0.25">
      <c r="A36" s="49">
        <v>-1378.03</v>
      </c>
      <c r="B36" s="32" t="s">
        <v>19</v>
      </c>
      <c r="C36" s="32" t="s">
        <v>20</v>
      </c>
      <c r="D36" s="32" t="s">
        <v>21</v>
      </c>
      <c r="E36" s="32" t="s">
        <v>22</v>
      </c>
      <c r="F36" s="46" t="s">
        <v>152</v>
      </c>
      <c r="G36" s="32" t="s">
        <v>193</v>
      </c>
      <c r="H36" s="32" t="s">
        <v>1391</v>
      </c>
      <c r="I36" s="34">
        <v>5</v>
      </c>
      <c r="J36" s="32" t="s">
        <v>27</v>
      </c>
      <c r="K36" s="32" t="s">
        <v>28</v>
      </c>
      <c r="L36" s="32" t="s">
        <v>29</v>
      </c>
      <c r="M36" s="32" t="s">
        <v>155</v>
      </c>
      <c r="N36" s="32" t="s">
        <v>195</v>
      </c>
    </row>
    <row r="37" spans="1:14" s="4" customFormat="1" ht="15.75" customHeight="1" x14ac:dyDescent="0.25">
      <c r="A37" s="49">
        <v>3095</v>
      </c>
      <c r="B37" s="32" t="s">
        <v>19</v>
      </c>
      <c r="C37" s="32" t="s">
        <v>20</v>
      </c>
      <c r="D37" s="32" t="s">
        <v>21</v>
      </c>
      <c r="E37" s="32" t="s">
        <v>22</v>
      </c>
      <c r="F37" s="46" t="s">
        <v>23</v>
      </c>
      <c r="G37" s="32" t="s">
        <v>197</v>
      </c>
      <c r="H37" s="32" t="s">
        <v>1392</v>
      </c>
      <c r="I37" s="34">
        <v>5</v>
      </c>
      <c r="J37" s="32" t="s">
        <v>27</v>
      </c>
      <c r="K37" s="32" t="s">
        <v>28</v>
      </c>
      <c r="L37" s="32" t="s">
        <v>29</v>
      </c>
      <c r="M37" s="32" t="s">
        <v>30</v>
      </c>
      <c r="N37" s="32" t="s">
        <v>199</v>
      </c>
    </row>
    <row r="38" spans="1:14" s="4" customFormat="1" ht="15.75" customHeight="1" x14ac:dyDescent="0.25">
      <c r="A38" s="49">
        <v>3394.5</v>
      </c>
      <c r="B38" s="32" t="s">
        <v>19</v>
      </c>
      <c r="C38" s="32" t="s">
        <v>20</v>
      </c>
      <c r="D38" s="32" t="s">
        <v>21</v>
      </c>
      <c r="E38" s="32" t="s">
        <v>22</v>
      </c>
      <c r="F38" s="46" t="s">
        <v>201</v>
      </c>
      <c r="G38" s="32" t="s">
        <v>202</v>
      </c>
      <c r="H38" s="32" t="s">
        <v>1393</v>
      </c>
      <c r="I38" s="34">
        <v>5</v>
      </c>
      <c r="J38" s="32" t="s">
        <v>27</v>
      </c>
      <c r="K38" s="32" t="s">
        <v>28</v>
      </c>
      <c r="L38" s="32" t="s">
        <v>29</v>
      </c>
      <c r="M38" s="32" t="s">
        <v>204</v>
      </c>
      <c r="N38" s="32" t="s">
        <v>205</v>
      </c>
    </row>
    <row r="39" spans="1:14" s="4" customFormat="1" ht="15.75" customHeight="1" x14ac:dyDescent="0.25">
      <c r="A39" s="49">
        <v>4534</v>
      </c>
      <c r="B39" s="32" t="s">
        <v>19</v>
      </c>
      <c r="C39" s="32" t="s">
        <v>20</v>
      </c>
      <c r="D39" s="32" t="s">
        <v>21</v>
      </c>
      <c r="E39" s="32" t="s">
        <v>22</v>
      </c>
      <c r="F39" s="46" t="s">
        <v>61</v>
      </c>
      <c r="G39" s="32" t="s">
        <v>62</v>
      </c>
      <c r="H39" s="32" t="s">
        <v>1370</v>
      </c>
      <c r="I39" s="34">
        <v>5</v>
      </c>
      <c r="J39" s="32" t="s">
        <v>27</v>
      </c>
      <c r="K39" s="32" t="s">
        <v>28</v>
      </c>
      <c r="L39" s="32" t="s">
        <v>29</v>
      </c>
      <c r="M39" s="32" t="s">
        <v>65</v>
      </c>
      <c r="N39" s="32" t="s">
        <v>206</v>
      </c>
    </row>
    <row r="40" spans="1:14" s="4" customFormat="1" ht="15.75" customHeight="1" x14ac:dyDescent="0.25">
      <c r="A40" s="49">
        <v>5212</v>
      </c>
      <c r="B40" s="32" t="s">
        <v>19</v>
      </c>
      <c r="C40" s="32" t="s">
        <v>20</v>
      </c>
      <c r="D40" s="32" t="s">
        <v>21</v>
      </c>
      <c r="E40" s="32" t="s">
        <v>22</v>
      </c>
      <c r="F40" s="46" t="s">
        <v>207</v>
      </c>
      <c r="G40" s="32" t="s">
        <v>208</v>
      </c>
      <c r="H40" s="32" t="s">
        <v>1394</v>
      </c>
      <c r="I40" s="34">
        <v>5</v>
      </c>
      <c r="J40" s="32" t="s">
        <v>27</v>
      </c>
      <c r="K40" s="32" t="s">
        <v>28</v>
      </c>
      <c r="L40" s="32" t="s">
        <v>29</v>
      </c>
      <c r="M40" s="32" t="s">
        <v>210</v>
      </c>
      <c r="N40" s="32" t="s">
        <v>211</v>
      </c>
    </row>
    <row r="41" spans="1:14" s="4" customFormat="1" ht="15.75" customHeight="1" x14ac:dyDescent="0.25">
      <c r="A41" s="49">
        <v>3250</v>
      </c>
      <c r="B41" s="32" t="s">
        <v>19</v>
      </c>
      <c r="C41" s="32" t="s">
        <v>20</v>
      </c>
      <c r="D41" s="32" t="s">
        <v>21</v>
      </c>
      <c r="E41" s="32" t="s">
        <v>22</v>
      </c>
      <c r="F41" s="46" t="s">
        <v>39</v>
      </c>
      <c r="G41" s="32" t="s">
        <v>213</v>
      </c>
      <c r="H41" s="32" t="s">
        <v>1395</v>
      </c>
      <c r="I41" s="34">
        <v>5</v>
      </c>
      <c r="J41" s="32" t="s">
        <v>27</v>
      </c>
      <c r="K41" s="32" t="s">
        <v>28</v>
      </c>
      <c r="L41" s="32" t="s">
        <v>29</v>
      </c>
      <c r="M41" s="32" t="s">
        <v>42</v>
      </c>
      <c r="N41" s="32" t="s">
        <v>215</v>
      </c>
    </row>
    <row r="42" spans="1:14" s="4" customFormat="1" ht="15.75" customHeight="1" x14ac:dyDescent="0.25">
      <c r="A42" s="49">
        <v>3245.5</v>
      </c>
      <c r="B42" s="32" t="s">
        <v>19</v>
      </c>
      <c r="C42" s="32" t="s">
        <v>20</v>
      </c>
      <c r="D42" s="32" t="s">
        <v>21</v>
      </c>
      <c r="E42" s="32" t="s">
        <v>22</v>
      </c>
      <c r="F42" s="46" t="s">
        <v>217</v>
      </c>
      <c r="G42" s="32" t="s">
        <v>218</v>
      </c>
      <c r="H42" s="32" t="s">
        <v>1396</v>
      </c>
      <c r="I42" s="34">
        <v>5</v>
      </c>
      <c r="J42" s="32" t="s">
        <v>27</v>
      </c>
      <c r="K42" s="32" t="s">
        <v>28</v>
      </c>
      <c r="L42" s="32" t="s">
        <v>29</v>
      </c>
      <c r="M42" s="32" t="s">
        <v>220</v>
      </c>
      <c r="N42" s="32" t="s">
        <v>221</v>
      </c>
    </row>
    <row r="43" spans="1:14" s="4" customFormat="1" ht="15.75" customHeight="1" x14ac:dyDescent="0.25">
      <c r="A43" s="49">
        <v>4064.5</v>
      </c>
      <c r="B43" s="32" t="s">
        <v>19</v>
      </c>
      <c r="C43" s="32" t="s">
        <v>20</v>
      </c>
      <c r="D43" s="32" t="s">
        <v>86</v>
      </c>
      <c r="E43" s="32" t="s">
        <v>22</v>
      </c>
      <c r="F43" s="46" t="s">
        <v>223</v>
      </c>
      <c r="G43" s="32" t="s">
        <v>224</v>
      </c>
      <c r="H43" s="32" t="s">
        <v>1397</v>
      </c>
      <c r="I43" s="34">
        <v>6</v>
      </c>
      <c r="J43" s="32" t="s">
        <v>89</v>
      </c>
      <c r="K43" s="32" t="s">
        <v>28</v>
      </c>
      <c r="L43" s="32" t="s">
        <v>29</v>
      </c>
      <c r="M43" s="32" t="s">
        <v>226</v>
      </c>
      <c r="N43" s="32" t="s">
        <v>227</v>
      </c>
    </row>
    <row r="44" spans="1:14" s="4" customFormat="1" ht="15.75" customHeight="1" x14ac:dyDescent="0.25">
      <c r="A44" s="49">
        <v>4229.5</v>
      </c>
      <c r="B44" s="32" t="s">
        <v>19</v>
      </c>
      <c r="C44" s="32" t="s">
        <v>20</v>
      </c>
      <c r="D44" s="32" t="s">
        <v>86</v>
      </c>
      <c r="E44" s="32" t="s">
        <v>22</v>
      </c>
      <c r="F44" s="46" t="s">
        <v>223</v>
      </c>
      <c r="G44" s="32" t="s">
        <v>229</v>
      </c>
      <c r="H44" s="32" t="s">
        <v>1398</v>
      </c>
      <c r="I44" s="34">
        <v>6</v>
      </c>
      <c r="J44" s="32" t="s">
        <v>89</v>
      </c>
      <c r="K44" s="32" t="s">
        <v>28</v>
      </c>
      <c r="L44" s="32" t="s">
        <v>29</v>
      </c>
      <c r="M44" s="32" t="s">
        <v>226</v>
      </c>
      <c r="N44" s="32" t="s">
        <v>231</v>
      </c>
    </row>
    <row r="45" spans="1:14" s="4" customFormat="1" ht="15.75" customHeight="1" x14ac:dyDescent="0.25">
      <c r="A45" s="49">
        <v>6111.5</v>
      </c>
      <c r="B45" s="32" t="s">
        <v>19</v>
      </c>
      <c r="C45" s="32" t="s">
        <v>20</v>
      </c>
      <c r="D45" s="32" t="s">
        <v>86</v>
      </c>
      <c r="E45" s="32" t="s">
        <v>22</v>
      </c>
      <c r="F45" s="46" t="s">
        <v>180</v>
      </c>
      <c r="G45" s="32" t="s">
        <v>181</v>
      </c>
      <c r="H45" s="32" t="s">
        <v>1389</v>
      </c>
      <c r="I45" s="34">
        <v>6</v>
      </c>
      <c r="J45" s="32" t="s">
        <v>89</v>
      </c>
      <c r="K45" s="32" t="s">
        <v>28</v>
      </c>
      <c r="L45" s="32" t="s">
        <v>29</v>
      </c>
      <c r="M45" s="32" t="s">
        <v>183</v>
      </c>
      <c r="N45" s="32" t="s">
        <v>232</v>
      </c>
    </row>
    <row r="46" spans="1:14" s="4" customFormat="1" ht="15.75" customHeight="1" x14ac:dyDescent="0.25">
      <c r="A46" s="49">
        <v>4534</v>
      </c>
      <c r="B46" s="32" t="s">
        <v>19</v>
      </c>
      <c r="C46" s="32" t="s">
        <v>20</v>
      </c>
      <c r="D46" s="32" t="s">
        <v>21</v>
      </c>
      <c r="E46" s="32" t="s">
        <v>22</v>
      </c>
      <c r="F46" s="46" t="s">
        <v>61</v>
      </c>
      <c r="G46" s="32" t="s">
        <v>141</v>
      </c>
      <c r="H46" s="32" t="s">
        <v>1382</v>
      </c>
      <c r="I46" s="34">
        <v>6</v>
      </c>
      <c r="J46" s="32" t="s">
        <v>27</v>
      </c>
      <c r="K46" s="32" t="s">
        <v>28</v>
      </c>
      <c r="L46" s="32" t="s">
        <v>29</v>
      </c>
      <c r="M46" s="32" t="s">
        <v>65</v>
      </c>
      <c r="N46" s="32" t="s">
        <v>233</v>
      </c>
    </row>
    <row r="47" spans="1:14" s="4" customFormat="1" ht="15.75" customHeight="1" x14ac:dyDescent="0.25">
      <c r="A47" s="49">
        <v>4134.5</v>
      </c>
      <c r="B47" s="32" t="s">
        <v>19</v>
      </c>
      <c r="C47" s="32" t="s">
        <v>20</v>
      </c>
      <c r="D47" s="32" t="s">
        <v>21</v>
      </c>
      <c r="E47" s="32" t="s">
        <v>22</v>
      </c>
      <c r="F47" s="46" t="s">
        <v>145</v>
      </c>
      <c r="G47" s="32" t="s">
        <v>146</v>
      </c>
      <c r="H47" s="32" t="s">
        <v>1383</v>
      </c>
      <c r="I47" s="34">
        <v>6</v>
      </c>
      <c r="J47" s="32" t="s">
        <v>27</v>
      </c>
      <c r="K47" s="32" t="s">
        <v>28</v>
      </c>
      <c r="L47" s="32" t="s">
        <v>29</v>
      </c>
      <c r="M47" s="32" t="s">
        <v>148</v>
      </c>
      <c r="N47" s="32" t="s">
        <v>234</v>
      </c>
    </row>
    <row r="48" spans="1:14" s="4" customFormat="1" ht="15.75" customHeight="1" x14ac:dyDescent="0.25">
      <c r="A48" s="49">
        <v>2791</v>
      </c>
      <c r="B48" s="32" t="s">
        <v>19</v>
      </c>
      <c r="C48" s="32" t="s">
        <v>20</v>
      </c>
      <c r="D48" s="32" t="s">
        <v>21</v>
      </c>
      <c r="E48" s="32" t="s">
        <v>22</v>
      </c>
      <c r="F48" s="46" t="s">
        <v>75</v>
      </c>
      <c r="G48" s="32" t="s">
        <v>236</v>
      </c>
      <c r="H48" s="32" t="s">
        <v>1399</v>
      </c>
      <c r="I48" s="34">
        <v>6</v>
      </c>
      <c r="J48" s="32" t="s">
        <v>27</v>
      </c>
      <c r="K48" s="32" t="s">
        <v>28</v>
      </c>
      <c r="L48" s="32" t="s">
        <v>29</v>
      </c>
      <c r="M48" s="32" t="s">
        <v>78</v>
      </c>
      <c r="N48" s="32" t="s">
        <v>238</v>
      </c>
    </row>
    <row r="49" spans="1:14" s="4" customFormat="1" ht="15.75" customHeight="1" x14ac:dyDescent="0.25">
      <c r="A49" s="49">
        <v>5212</v>
      </c>
      <c r="B49" s="32" t="s">
        <v>19</v>
      </c>
      <c r="C49" s="32" t="s">
        <v>20</v>
      </c>
      <c r="D49" s="32" t="s">
        <v>21</v>
      </c>
      <c r="E49" s="32" t="s">
        <v>22</v>
      </c>
      <c r="F49" s="46" t="s">
        <v>239</v>
      </c>
      <c r="G49" s="32" t="s">
        <v>240</v>
      </c>
      <c r="H49" s="32" t="s">
        <v>1400</v>
      </c>
      <c r="I49" s="34">
        <v>6</v>
      </c>
      <c r="J49" s="32" t="s">
        <v>27</v>
      </c>
      <c r="K49" s="32" t="s">
        <v>28</v>
      </c>
      <c r="L49" s="32" t="s">
        <v>29</v>
      </c>
      <c r="M49" s="32" t="s">
        <v>242</v>
      </c>
      <c r="N49" s="32" t="s">
        <v>243</v>
      </c>
    </row>
    <row r="50" spans="1:14" s="4" customFormat="1" ht="15.75" customHeight="1" x14ac:dyDescent="0.25">
      <c r="A50" s="49">
        <v>3250</v>
      </c>
      <c r="B50" s="32" t="s">
        <v>19</v>
      </c>
      <c r="C50" s="32" t="s">
        <v>20</v>
      </c>
      <c r="D50" s="32" t="s">
        <v>21</v>
      </c>
      <c r="E50" s="32" t="s">
        <v>22</v>
      </c>
      <c r="F50" s="46" t="s">
        <v>39</v>
      </c>
      <c r="G50" s="32" t="s">
        <v>213</v>
      </c>
      <c r="H50" s="32" t="s">
        <v>1395</v>
      </c>
      <c r="I50" s="34">
        <v>6</v>
      </c>
      <c r="J50" s="32" t="s">
        <v>27</v>
      </c>
      <c r="K50" s="32" t="s">
        <v>28</v>
      </c>
      <c r="L50" s="32" t="s">
        <v>29</v>
      </c>
      <c r="M50" s="32" t="s">
        <v>42</v>
      </c>
      <c r="N50" s="32" t="s">
        <v>244</v>
      </c>
    </row>
    <row r="51" spans="1:14" s="4" customFormat="1" ht="15.75" customHeight="1" x14ac:dyDescent="0.25">
      <c r="A51" s="49">
        <v>2783.5</v>
      </c>
      <c r="B51" s="32" t="s">
        <v>19</v>
      </c>
      <c r="C51" s="32" t="s">
        <v>20</v>
      </c>
      <c r="D51" s="32" t="s">
        <v>21</v>
      </c>
      <c r="E51" s="32" t="s">
        <v>22</v>
      </c>
      <c r="F51" s="46" t="s">
        <v>152</v>
      </c>
      <c r="G51" s="32" t="s">
        <v>153</v>
      </c>
      <c r="H51" s="32" t="s">
        <v>1384</v>
      </c>
      <c r="I51" s="34">
        <v>6</v>
      </c>
      <c r="J51" s="32" t="s">
        <v>27</v>
      </c>
      <c r="K51" s="32" t="s">
        <v>28</v>
      </c>
      <c r="L51" s="32" t="s">
        <v>29</v>
      </c>
      <c r="M51" s="32" t="s">
        <v>155</v>
      </c>
      <c r="N51" s="32" t="s">
        <v>245</v>
      </c>
    </row>
    <row r="52" spans="1:14" s="4" customFormat="1" ht="15.75" customHeight="1" x14ac:dyDescent="0.25">
      <c r="A52" s="49">
        <v>3946</v>
      </c>
      <c r="B52" s="32" t="s">
        <v>19</v>
      </c>
      <c r="C52" s="32" t="s">
        <v>20</v>
      </c>
      <c r="D52" s="32" t="s">
        <v>21</v>
      </c>
      <c r="E52" s="32" t="s">
        <v>22</v>
      </c>
      <c r="F52" s="46" t="s">
        <v>152</v>
      </c>
      <c r="G52" s="32" t="s">
        <v>247</v>
      </c>
      <c r="H52" s="32" t="s">
        <v>1401</v>
      </c>
      <c r="I52" s="34">
        <v>6</v>
      </c>
      <c r="J52" s="32" t="s">
        <v>27</v>
      </c>
      <c r="K52" s="32" t="s">
        <v>28</v>
      </c>
      <c r="L52" s="32" t="s">
        <v>29</v>
      </c>
      <c r="M52" s="32" t="s">
        <v>155</v>
      </c>
      <c r="N52" s="32" t="s">
        <v>249</v>
      </c>
    </row>
    <row r="53" spans="1:14" s="4" customFormat="1" ht="15.75" customHeight="1" x14ac:dyDescent="0.25">
      <c r="A53" s="49">
        <v>4536</v>
      </c>
      <c r="B53" s="32" t="s">
        <v>19</v>
      </c>
      <c r="C53" s="32" t="s">
        <v>20</v>
      </c>
      <c r="D53" s="32" t="s">
        <v>21</v>
      </c>
      <c r="E53" s="32" t="s">
        <v>22</v>
      </c>
      <c r="F53" s="46" t="s">
        <v>110</v>
      </c>
      <c r="G53" s="35" t="s">
        <v>111</v>
      </c>
      <c r="H53" s="32" t="s">
        <v>1378</v>
      </c>
      <c r="I53" s="34">
        <v>6</v>
      </c>
      <c r="J53" s="32" t="s">
        <v>27</v>
      </c>
      <c r="K53" s="32" t="s">
        <v>28</v>
      </c>
      <c r="L53" s="32" t="s">
        <v>29</v>
      </c>
      <c r="M53" s="32" t="s">
        <v>113</v>
      </c>
      <c r="N53" s="35" t="s">
        <v>250</v>
      </c>
    </row>
    <row r="54" spans="1:14" s="4" customFormat="1" ht="15.75" customHeight="1" x14ac:dyDescent="0.25">
      <c r="A54" s="49">
        <v>4271.5</v>
      </c>
      <c r="B54" s="32" t="s">
        <v>19</v>
      </c>
      <c r="C54" s="32" t="s">
        <v>20</v>
      </c>
      <c r="D54" s="32" t="s">
        <v>21</v>
      </c>
      <c r="E54" s="32" t="s">
        <v>22</v>
      </c>
      <c r="F54" s="46" t="s">
        <v>116</v>
      </c>
      <c r="G54" s="32" t="s">
        <v>117</v>
      </c>
      <c r="H54" s="32" t="s">
        <v>1379</v>
      </c>
      <c r="I54" s="34">
        <v>6</v>
      </c>
      <c r="J54" s="32" t="s">
        <v>27</v>
      </c>
      <c r="K54" s="32" t="s">
        <v>28</v>
      </c>
      <c r="L54" s="32" t="s">
        <v>29</v>
      </c>
      <c r="M54" s="32" t="s">
        <v>119</v>
      </c>
      <c r="N54" s="32" t="s">
        <v>251</v>
      </c>
    </row>
    <row r="55" spans="1:14" s="4" customFormat="1" ht="15.75" customHeight="1" x14ac:dyDescent="0.25">
      <c r="A55" s="49">
        <v>5816.5</v>
      </c>
      <c r="B55" s="32" t="s">
        <v>19</v>
      </c>
      <c r="C55" s="32" t="s">
        <v>20</v>
      </c>
      <c r="D55" s="32" t="s">
        <v>21</v>
      </c>
      <c r="E55" s="32" t="s">
        <v>22</v>
      </c>
      <c r="F55" s="46" t="s">
        <v>253</v>
      </c>
      <c r="G55" s="32" t="s">
        <v>254</v>
      </c>
      <c r="H55" s="32" t="s">
        <v>1402</v>
      </c>
      <c r="I55" s="34">
        <v>6</v>
      </c>
      <c r="J55" s="32" t="s">
        <v>27</v>
      </c>
      <c r="K55" s="32" t="s">
        <v>28</v>
      </c>
      <c r="L55" s="32" t="s">
        <v>29</v>
      </c>
      <c r="M55" s="32" t="s">
        <v>256</v>
      </c>
      <c r="N55" s="32" t="s">
        <v>257</v>
      </c>
    </row>
    <row r="56" spans="1:14" s="4" customFormat="1" ht="15.75" customHeight="1" x14ac:dyDescent="0.25">
      <c r="A56" s="49">
        <v>4229.5</v>
      </c>
      <c r="B56" s="32" t="s">
        <v>19</v>
      </c>
      <c r="C56" s="32" t="s">
        <v>20</v>
      </c>
      <c r="D56" s="32" t="s">
        <v>86</v>
      </c>
      <c r="E56" s="32" t="s">
        <v>22</v>
      </c>
      <c r="F56" s="46" t="s">
        <v>223</v>
      </c>
      <c r="G56" s="32" t="s">
        <v>258</v>
      </c>
      <c r="H56" s="32" t="s">
        <v>1403</v>
      </c>
      <c r="I56" s="34">
        <v>7</v>
      </c>
      <c r="J56" s="32" t="s">
        <v>89</v>
      </c>
      <c r="K56" s="32" t="s">
        <v>28</v>
      </c>
      <c r="L56" s="32" t="s">
        <v>29</v>
      </c>
      <c r="M56" s="32" t="s">
        <v>226</v>
      </c>
      <c r="N56" s="32" t="s">
        <v>260</v>
      </c>
    </row>
    <row r="57" spans="1:14" s="4" customFormat="1" ht="15.75" customHeight="1" x14ac:dyDescent="0.25">
      <c r="A57" s="49">
        <v>3902.5</v>
      </c>
      <c r="B57" s="32" t="s">
        <v>19</v>
      </c>
      <c r="C57" s="32" t="s">
        <v>20</v>
      </c>
      <c r="D57" s="32" t="s">
        <v>21</v>
      </c>
      <c r="E57" s="32" t="s">
        <v>22</v>
      </c>
      <c r="F57" s="46" t="s">
        <v>33</v>
      </c>
      <c r="G57" s="32" t="s">
        <v>34</v>
      </c>
      <c r="H57" s="32" t="s">
        <v>1365</v>
      </c>
      <c r="I57" s="34">
        <v>7</v>
      </c>
      <c r="J57" s="32" t="s">
        <v>27</v>
      </c>
      <c r="K57" s="32" t="s">
        <v>28</v>
      </c>
      <c r="L57" s="32" t="s">
        <v>29</v>
      </c>
      <c r="M57" s="32" t="s">
        <v>36</v>
      </c>
      <c r="N57" s="32" t="s">
        <v>261</v>
      </c>
    </row>
    <row r="58" spans="1:14" s="4" customFormat="1" ht="15.75" customHeight="1" x14ac:dyDescent="0.25">
      <c r="A58" s="49">
        <v>3394.5</v>
      </c>
      <c r="B58" s="32" t="s">
        <v>19</v>
      </c>
      <c r="C58" s="32" t="s">
        <v>20</v>
      </c>
      <c r="D58" s="32" t="s">
        <v>21</v>
      </c>
      <c r="E58" s="32" t="s">
        <v>22</v>
      </c>
      <c r="F58" s="46" t="s">
        <v>201</v>
      </c>
      <c r="G58" s="32" t="s">
        <v>202</v>
      </c>
      <c r="H58" s="32" t="s">
        <v>1393</v>
      </c>
      <c r="I58" s="34">
        <v>7</v>
      </c>
      <c r="J58" s="32" t="s">
        <v>27</v>
      </c>
      <c r="K58" s="32" t="s">
        <v>28</v>
      </c>
      <c r="L58" s="32" t="s">
        <v>29</v>
      </c>
      <c r="M58" s="32" t="s">
        <v>204</v>
      </c>
      <c r="N58" s="32" t="s">
        <v>262</v>
      </c>
    </row>
    <row r="59" spans="1:14" s="4" customFormat="1" ht="15.75" customHeight="1" x14ac:dyDescent="0.25">
      <c r="A59" s="49">
        <v>4534</v>
      </c>
      <c r="B59" s="32" t="s">
        <v>19</v>
      </c>
      <c r="C59" s="32" t="s">
        <v>20</v>
      </c>
      <c r="D59" s="32" t="s">
        <v>21</v>
      </c>
      <c r="E59" s="32" t="s">
        <v>22</v>
      </c>
      <c r="F59" s="46" t="s">
        <v>61</v>
      </c>
      <c r="G59" s="32" t="s">
        <v>263</v>
      </c>
      <c r="H59" s="32" t="s">
        <v>1404</v>
      </c>
      <c r="I59" s="34">
        <v>7</v>
      </c>
      <c r="J59" s="32" t="s">
        <v>27</v>
      </c>
      <c r="K59" s="32" t="s">
        <v>28</v>
      </c>
      <c r="L59" s="32" t="s">
        <v>29</v>
      </c>
      <c r="M59" s="32" t="s">
        <v>65</v>
      </c>
      <c r="N59" s="32" t="s">
        <v>265</v>
      </c>
    </row>
    <row r="60" spans="1:14" s="4" customFormat="1" ht="15.75" customHeight="1" x14ac:dyDescent="0.25">
      <c r="A60" s="49">
        <v>5152.5</v>
      </c>
      <c r="B60" s="32" t="s">
        <v>19</v>
      </c>
      <c r="C60" s="32" t="s">
        <v>20</v>
      </c>
      <c r="D60" s="32" t="s">
        <v>21</v>
      </c>
      <c r="E60" s="32" t="s">
        <v>22</v>
      </c>
      <c r="F60" s="46" t="s">
        <v>267</v>
      </c>
      <c r="G60" s="32" t="s">
        <v>268</v>
      </c>
      <c r="H60" s="32" t="s">
        <v>1405</v>
      </c>
      <c r="I60" s="34">
        <v>7</v>
      </c>
      <c r="J60" s="32" t="s">
        <v>27</v>
      </c>
      <c r="K60" s="32" t="s">
        <v>28</v>
      </c>
      <c r="L60" s="32" t="s">
        <v>29</v>
      </c>
      <c r="M60" s="32" t="s">
        <v>270</v>
      </c>
      <c r="N60" s="32" t="s">
        <v>271</v>
      </c>
    </row>
    <row r="61" spans="1:14" s="4" customFormat="1" ht="15.75" customHeight="1" x14ac:dyDescent="0.25">
      <c r="A61" s="49">
        <v>2542.5</v>
      </c>
      <c r="B61" s="32" t="s">
        <v>19</v>
      </c>
      <c r="C61" s="32" t="s">
        <v>20</v>
      </c>
      <c r="D61" s="32" t="s">
        <v>21</v>
      </c>
      <c r="E61" s="32" t="s">
        <v>22</v>
      </c>
      <c r="F61" s="46" t="s">
        <v>75</v>
      </c>
      <c r="G61" s="32" t="s">
        <v>76</v>
      </c>
      <c r="H61" s="32" t="s">
        <v>1372</v>
      </c>
      <c r="I61" s="34">
        <v>7</v>
      </c>
      <c r="J61" s="32" t="s">
        <v>27</v>
      </c>
      <c r="K61" s="32" t="s">
        <v>28</v>
      </c>
      <c r="L61" s="32" t="s">
        <v>29</v>
      </c>
      <c r="M61" s="32" t="s">
        <v>78</v>
      </c>
      <c r="N61" s="32" t="s">
        <v>272</v>
      </c>
    </row>
    <row r="62" spans="1:14" s="4" customFormat="1" ht="15.75" customHeight="1" x14ac:dyDescent="0.25">
      <c r="A62" s="49">
        <v>1738.79</v>
      </c>
      <c r="B62" s="32" t="s">
        <v>19</v>
      </c>
      <c r="C62" s="32" t="s">
        <v>123</v>
      </c>
      <c r="D62" s="32" t="s">
        <v>274</v>
      </c>
      <c r="E62" s="32" t="s">
        <v>125</v>
      </c>
      <c r="F62" s="46" t="s">
        <v>275</v>
      </c>
      <c r="G62" s="32" t="s">
        <v>276</v>
      </c>
      <c r="H62" s="32" t="s">
        <v>1406</v>
      </c>
      <c r="I62" s="34">
        <v>24</v>
      </c>
      <c r="J62" s="32" t="s">
        <v>279</v>
      </c>
      <c r="K62" s="32" t="s">
        <v>28</v>
      </c>
      <c r="L62" s="32" t="s">
        <v>131</v>
      </c>
      <c r="M62" s="32" t="s">
        <v>280</v>
      </c>
      <c r="N62" s="32" t="s">
        <v>281</v>
      </c>
    </row>
    <row r="63" spans="1:14" s="4" customFormat="1" ht="15.75" customHeight="1" x14ac:dyDescent="0.25">
      <c r="A63" s="49">
        <v>2783.5</v>
      </c>
      <c r="B63" s="32" t="s">
        <v>19</v>
      </c>
      <c r="C63" s="32" t="s">
        <v>20</v>
      </c>
      <c r="D63" s="32" t="s">
        <v>21</v>
      </c>
      <c r="E63" s="32" t="s">
        <v>22</v>
      </c>
      <c r="F63" s="46" t="s">
        <v>282</v>
      </c>
      <c r="G63" s="32" t="s">
        <v>283</v>
      </c>
      <c r="H63" s="32" t="s">
        <v>1407</v>
      </c>
      <c r="I63" s="34">
        <v>7</v>
      </c>
      <c r="J63" s="32" t="s">
        <v>27</v>
      </c>
      <c r="K63" s="32" t="s">
        <v>28</v>
      </c>
      <c r="L63" s="32" t="s">
        <v>29</v>
      </c>
      <c r="M63" s="32" t="s">
        <v>285</v>
      </c>
      <c r="N63" s="32" t="s">
        <v>286</v>
      </c>
    </row>
    <row r="64" spans="1:14" s="4" customFormat="1" ht="15.75" customHeight="1" x14ac:dyDescent="0.25">
      <c r="A64" s="49">
        <v>4274</v>
      </c>
      <c r="B64" s="32" t="s">
        <v>19</v>
      </c>
      <c r="C64" s="32" t="s">
        <v>20</v>
      </c>
      <c r="D64" s="32" t="s">
        <v>21</v>
      </c>
      <c r="E64" s="32" t="s">
        <v>22</v>
      </c>
      <c r="F64" s="46" t="s">
        <v>39</v>
      </c>
      <c r="G64" s="32" t="s">
        <v>287</v>
      </c>
      <c r="H64" s="32" t="s">
        <v>1408</v>
      </c>
      <c r="I64" s="34">
        <v>7</v>
      </c>
      <c r="J64" s="32" t="s">
        <v>27</v>
      </c>
      <c r="K64" s="32" t="s">
        <v>28</v>
      </c>
      <c r="L64" s="32" t="s">
        <v>29</v>
      </c>
      <c r="M64" s="32" t="s">
        <v>42</v>
      </c>
      <c r="N64" s="32" t="s">
        <v>289</v>
      </c>
    </row>
    <row r="65" spans="1:14" s="4" customFormat="1" ht="15.75" customHeight="1" x14ac:dyDescent="0.25">
      <c r="A65" s="49">
        <v>2934.5</v>
      </c>
      <c r="B65" s="32" t="s">
        <v>19</v>
      </c>
      <c r="C65" s="32" t="s">
        <v>20</v>
      </c>
      <c r="D65" s="32" t="s">
        <v>21</v>
      </c>
      <c r="E65" s="32" t="s">
        <v>22</v>
      </c>
      <c r="F65" s="46" t="s">
        <v>49</v>
      </c>
      <c r="G65" s="32" t="s">
        <v>162</v>
      </c>
      <c r="H65" s="32" t="s">
        <v>1386</v>
      </c>
      <c r="I65" s="34">
        <v>7</v>
      </c>
      <c r="J65" s="32" t="s">
        <v>27</v>
      </c>
      <c r="K65" s="32" t="s">
        <v>28</v>
      </c>
      <c r="L65" s="32" t="s">
        <v>29</v>
      </c>
      <c r="M65" s="32" t="s">
        <v>52</v>
      </c>
      <c r="N65" s="32" t="s">
        <v>290</v>
      </c>
    </row>
    <row r="66" spans="1:14" s="4" customFormat="1" ht="15.75" customHeight="1" x14ac:dyDescent="0.25">
      <c r="A66" s="49">
        <v>5317</v>
      </c>
      <c r="B66" s="32" t="s">
        <v>19</v>
      </c>
      <c r="C66" s="32" t="s">
        <v>20</v>
      </c>
      <c r="D66" s="32" t="s">
        <v>21</v>
      </c>
      <c r="E66" s="32" t="s">
        <v>22</v>
      </c>
      <c r="F66" s="46" t="s">
        <v>167</v>
      </c>
      <c r="G66" s="32" t="s">
        <v>292</v>
      </c>
      <c r="H66" s="32" t="s">
        <v>1409</v>
      </c>
      <c r="I66" s="34">
        <v>7</v>
      </c>
      <c r="J66" s="32" t="s">
        <v>27</v>
      </c>
      <c r="K66" s="32" t="s">
        <v>28</v>
      </c>
      <c r="L66" s="32" t="s">
        <v>29</v>
      </c>
      <c r="M66" s="32" t="s">
        <v>170</v>
      </c>
      <c r="N66" s="32" t="s">
        <v>294</v>
      </c>
    </row>
    <row r="67" spans="1:14" s="4" customFormat="1" ht="15.75" customHeight="1" x14ac:dyDescent="0.25">
      <c r="A67" s="49">
        <v>3945</v>
      </c>
      <c r="B67" s="32" t="s">
        <v>19</v>
      </c>
      <c r="C67" s="32" t="s">
        <v>20</v>
      </c>
      <c r="D67" s="32" t="s">
        <v>86</v>
      </c>
      <c r="E67" s="32" t="s">
        <v>22</v>
      </c>
      <c r="F67" s="46" t="s">
        <v>92</v>
      </c>
      <c r="G67" s="32" t="s">
        <v>93</v>
      </c>
      <c r="H67" s="32" t="s">
        <v>1375</v>
      </c>
      <c r="I67" s="34">
        <v>8</v>
      </c>
      <c r="J67" s="32" t="s">
        <v>89</v>
      </c>
      <c r="K67" s="32" t="s">
        <v>28</v>
      </c>
      <c r="L67" s="32" t="s">
        <v>29</v>
      </c>
      <c r="M67" s="32" t="s">
        <v>95</v>
      </c>
      <c r="N67" s="32" t="s">
        <v>296</v>
      </c>
    </row>
    <row r="68" spans="1:14" s="4" customFormat="1" ht="15.75" customHeight="1" x14ac:dyDescent="0.25">
      <c r="A68" s="49">
        <v>3398</v>
      </c>
      <c r="B68" s="32" t="s">
        <v>19</v>
      </c>
      <c r="C68" s="32" t="s">
        <v>20</v>
      </c>
      <c r="D68" s="32" t="s">
        <v>86</v>
      </c>
      <c r="E68" s="32" t="s">
        <v>22</v>
      </c>
      <c r="F68" s="46" t="s">
        <v>298</v>
      </c>
      <c r="G68" s="32" t="s">
        <v>299</v>
      </c>
      <c r="H68" s="32" t="s">
        <v>1410</v>
      </c>
      <c r="I68" s="34">
        <v>8</v>
      </c>
      <c r="J68" s="32" t="s">
        <v>89</v>
      </c>
      <c r="K68" s="32" t="s">
        <v>28</v>
      </c>
      <c r="L68" s="32" t="s">
        <v>29</v>
      </c>
      <c r="M68" s="32" t="s">
        <v>301</v>
      </c>
      <c r="N68" s="32" t="s">
        <v>302</v>
      </c>
    </row>
    <row r="69" spans="1:14" s="4" customFormat="1" ht="15.75" customHeight="1" x14ac:dyDescent="0.25">
      <c r="A69" s="49">
        <v>4536</v>
      </c>
      <c r="B69" s="32" t="s">
        <v>19</v>
      </c>
      <c r="C69" s="32" t="s">
        <v>20</v>
      </c>
      <c r="D69" s="32" t="s">
        <v>21</v>
      </c>
      <c r="E69" s="32" t="s">
        <v>22</v>
      </c>
      <c r="F69" s="46" t="s">
        <v>303</v>
      </c>
      <c r="G69" s="32" t="s">
        <v>304</v>
      </c>
      <c r="H69" s="32" t="s">
        <v>1411</v>
      </c>
      <c r="I69" s="34">
        <v>8</v>
      </c>
      <c r="J69" s="32" t="s">
        <v>27</v>
      </c>
      <c r="K69" s="32" t="s">
        <v>28</v>
      </c>
      <c r="L69" s="32" t="s">
        <v>29</v>
      </c>
      <c r="M69" s="32" t="s">
        <v>306</v>
      </c>
      <c r="N69" s="32" t="s">
        <v>307</v>
      </c>
    </row>
    <row r="70" spans="1:14" s="4" customFormat="1" ht="15.75" customHeight="1" x14ac:dyDescent="0.25">
      <c r="A70" s="49">
        <v>4043</v>
      </c>
      <c r="B70" s="32" t="s">
        <v>19</v>
      </c>
      <c r="C70" s="32" t="s">
        <v>20</v>
      </c>
      <c r="D70" s="32" t="s">
        <v>21</v>
      </c>
      <c r="E70" s="32" t="s">
        <v>22</v>
      </c>
      <c r="F70" s="46" t="s">
        <v>267</v>
      </c>
      <c r="G70" s="32" t="s">
        <v>309</v>
      </c>
      <c r="H70" s="32" t="s">
        <v>1412</v>
      </c>
      <c r="I70" s="34">
        <v>8</v>
      </c>
      <c r="J70" s="32" t="s">
        <v>27</v>
      </c>
      <c r="K70" s="32" t="s">
        <v>28</v>
      </c>
      <c r="L70" s="32" t="s">
        <v>29</v>
      </c>
      <c r="M70" s="32" t="s">
        <v>270</v>
      </c>
      <c r="N70" s="32" t="s">
        <v>311</v>
      </c>
    </row>
    <row r="71" spans="1:14" s="4" customFormat="1" ht="15.75" customHeight="1" x14ac:dyDescent="0.25">
      <c r="A71" s="49">
        <v>2791</v>
      </c>
      <c r="B71" s="32" t="s">
        <v>19</v>
      </c>
      <c r="C71" s="32" t="s">
        <v>20</v>
      </c>
      <c r="D71" s="32" t="s">
        <v>21</v>
      </c>
      <c r="E71" s="32" t="s">
        <v>22</v>
      </c>
      <c r="F71" s="46" t="s">
        <v>75</v>
      </c>
      <c r="G71" s="32" t="s">
        <v>236</v>
      </c>
      <c r="H71" s="32" t="s">
        <v>1399</v>
      </c>
      <c r="I71" s="34">
        <v>8</v>
      </c>
      <c r="J71" s="32" t="s">
        <v>27</v>
      </c>
      <c r="K71" s="32" t="s">
        <v>28</v>
      </c>
      <c r="L71" s="32" t="s">
        <v>29</v>
      </c>
      <c r="M71" s="32" t="s">
        <v>78</v>
      </c>
      <c r="N71" s="32" t="s">
        <v>312</v>
      </c>
    </row>
    <row r="72" spans="1:14" s="4" customFormat="1" ht="15.75" customHeight="1" x14ac:dyDescent="0.25">
      <c r="A72" s="49">
        <v>4444.5</v>
      </c>
      <c r="B72" s="32" t="s">
        <v>19</v>
      </c>
      <c r="C72" s="32" t="s">
        <v>20</v>
      </c>
      <c r="D72" s="32" t="s">
        <v>21</v>
      </c>
      <c r="E72" s="32" t="s">
        <v>22</v>
      </c>
      <c r="F72" s="46" t="s">
        <v>314</v>
      </c>
      <c r="G72" s="32" t="s">
        <v>315</v>
      </c>
      <c r="H72" s="32" t="s">
        <v>1413</v>
      </c>
      <c r="I72" s="34">
        <v>8</v>
      </c>
      <c r="J72" s="32" t="s">
        <v>27</v>
      </c>
      <c r="K72" s="32" t="s">
        <v>28</v>
      </c>
      <c r="L72" s="32" t="s">
        <v>29</v>
      </c>
      <c r="M72" s="32" t="s">
        <v>317</v>
      </c>
      <c r="N72" s="32" t="s">
        <v>318</v>
      </c>
    </row>
    <row r="73" spans="1:14" s="4" customFormat="1" ht="15.75" customHeight="1" x14ac:dyDescent="0.25">
      <c r="A73" s="49">
        <v>4274</v>
      </c>
      <c r="B73" s="32" t="s">
        <v>19</v>
      </c>
      <c r="C73" s="32" t="s">
        <v>20</v>
      </c>
      <c r="D73" s="32" t="s">
        <v>21</v>
      </c>
      <c r="E73" s="32" t="s">
        <v>22</v>
      </c>
      <c r="F73" s="46" t="s">
        <v>55</v>
      </c>
      <c r="G73" s="32" t="s">
        <v>56</v>
      </c>
      <c r="H73" s="32" t="s">
        <v>1369</v>
      </c>
      <c r="I73" s="34">
        <v>8</v>
      </c>
      <c r="J73" s="32" t="s">
        <v>27</v>
      </c>
      <c r="K73" s="32" t="s">
        <v>28</v>
      </c>
      <c r="L73" s="32" t="s">
        <v>29</v>
      </c>
      <c r="M73" s="32" t="s">
        <v>58</v>
      </c>
      <c r="N73" s="32" t="s">
        <v>319</v>
      </c>
    </row>
    <row r="74" spans="1:14" s="4" customFormat="1" ht="15.75" customHeight="1" x14ac:dyDescent="0.25">
      <c r="A74" s="49">
        <v>5816.5</v>
      </c>
      <c r="B74" s="32" t="s">
        <v>19</v>
      </c>
      <c r="C74" s="32" t="s">
        <v>20</v>
      </c>
      <c r="D74" s="32" t="s">
        <v>21</v>
      </c>
      <c r="E74" s="32" t="s">
        <v>22</v>
      </c>
      <c r="F74" s="46" t="s">
        <v>253</v>
      </c>
      <c r="G74" s="32" t="s">
        <v>254</v>
      </c>
      <c r="H74" s="32" t="s">
        <v>1402</v>
      </c>
      <c r="I74" s="34">
        <v>8</v>
      </c>
      <c r="J74" s="32" t="s">
        <v>27</v>
      </c>
      <c r="K74" s="32" t="s">
        <v>28</v>
      </c>
      <c r="L74" s="32" t="s">
        <v>29</v>
      </c>
      <c r="M74" s="32" t="s">
        <v>256</v>
      </c>
      <c r="N74" s="32" t="s">
        <v>320</v>
      </c>
    </row>
    <row r="75" spans="1:14" s="4" customFormat="1" ht="15.75" customHeight="1" x14ac:dyDescent="0.25">
      <c r="A75" s="49">
        <v>5478</v>
      </c>
      <c r="B75" s="32" t="s">
        <v>19</v>
      </c>
      <c r="C75" s="32" t="s">
        <v>20</v>
      </c>
      <c r="D75" s="32" t="s">
        <v>21</v>
      </c>
      <c r="E75" s="32" t="s">
        <v>22</v>
      </c>
      <c r="F75" s="46" t="s">
        <v>167</v>
      </c>
      <c r="G75" s="32" t="s">
        <v>168</v>
      </c>
      <c r="H75" s="32" t="s">
        <v>1387</v>
      </c>
      <c r="I75" s="34">
        <v>8</v>
      </c>
      <c r="J75" s="32" t="s">
        <v>27</v>
      </c>
      <c r="K75" s="32" t="s">
        <v>28</v>
      </c>
      <c r="L75" s="32" t="s">
        <v>29</v>
      </c>
      <c r="M75" s="32" t="s">
        <v>170</v>
      </c>
      <c r="N75" s="32" t="s">
        <v>321</v>
      </c>
    </row>
    <row r="76" spans="1:14" s="4" customFormat="1" ht="15.75" customHeight="1" x14ac:dyDescent="0.25">
      <c r="A76" s="49">
        <v>4534</v>
      </c>
      <c r="B76" s="32" t="s">
        <v>19</v>
      </c>
      <c r="C76" s="32" t="s">
        <v>20</v>
      </c>
      <c r="D76" s="32" t="s">
        <v>86</v>
      </c>
      <c r="E76" s="32" t="s">
        <v>22</v>
      </c>
      <c r="F76" s="46" t="s">
        <v>61</v>
      </c>
      <c r="G76" s="32" t="s">
        <v>87</v>
      </c>
      <c r="H76" s="32" t="s">
        <v>1374</v>
      </c>
      <c r="I76" s="34">
        <v>9</v>
      </c>
      <c r="J76" s="32" t="s">
        <v>89</v>
      </c>
      <c r="K76" s="32" t="s">
        <v>28</v>
      </c>
      <c r="L76" s="32" t="s">
        <v>29</v>
      </c>
      <c r="M76" s="32" t="s">
        <v>65</v>
      </c>
      <c r="N76" s="32" t="s">
        <v>322</v>
      </c>
    </row>
    <row r="77" spans="1:14" s="4" customFormat="1" ht="15.75" customHeight="1" x14ac:dyDescent="0.25">
      <c r="A77" s="49">
        <v>2206.5</v>
      </c>
      <c r="B77" s="32" t="s">
        <v>19</v>
      </c>
      <c r="C77" s="32" t="s">
        <v>20</v>
      </c>
      <c r="D77" s="32" t="s">
        <v>86</v>
      </c>
      <c r="E77" s="32" t="s">
        <v>22</v>
      </c>
      <c r="F77" s="46" t="s">
        <v>324</v>
      </c>
      <c r="G77" s="32" t="s">
        <v>325</v>
      </c>
      <c r="H77" s="32" t="s">
        <v>1414</v>
      </c>
      <c r="I77" s="34">
        <v>9</v>
      </c>
      <c r="J77" s="32" t="s">
        <v>89</v>
      </c>
      <c r="K77" s="32" t="s">
        <v>28</v>
      </c>
      <c r="L77" s="32" t="s">
        <v>29</v>
      </c>
      <c r="M77" s="32" t="s">
        <v>327</v>
      </c>
      <c r="N77" s="32" t="s">
        <v>328</v>
      </c>
    </row>
    <row r="78" spans="1:14" s="4" customFormat="1" ht="15.75" customHeight="1" x14ac:dyDescent="0.25">
      <c r="A78" s="49">
        <v>4579.5</v>
      </c>
      <c r="B78" s="32" t="s">
        <v>19</v>
      </c>
      <c r="C78" s="32" t="s">
        <v>20</v>
      </c>
      <c r="D78" s="32" t="s">
        <v>21</v>
      </c>
      <c r="E78" s="32" t="s">
        <v>22</v>
      </c>
      <c r="F78" s="46" t="s">
        <v>61</v>
      </c>
      <c r="G78" s="32" t="s">
        <v>330</v>
      </c>
      <c r="H78" s="32" t="s">
        <v>1415</v>
      </c>
      <c r="I78" s="34">
        <v>9</v>
      </c>
      <c r="J78" s="32" t="s">
        <v>27</v>
      </c>
      <c r="K78" s="32" t="s">
        <v>28</v>
      </c>
      <c r="L78" s="32" t="s">
        <v>29</v>
      </c>
      <c r="M78" s="32" t="s">
        <v>65</v>
      </c>
      <c r="N78" s="32" t="s">
        <v>332</v>
      </c>
    </row>
    <row r="79" spans="1:14" s="4" customFormat="1" ht="15.75" customHeight="1" x14ac:dyDescent="0.25">
      <c r="A79" s="49">
        <v>2828</v>
      </c>
      <c r="B79" s="32" t="s">
        <v>19</v>
      </c>
      <c r="C79" s="32" t="s">
        <v>20</v>
      </c>
      <c r="D79" s="32" t="s">
        <v>21</v>
      </c>
      <c r="E79" s="32" t="s">
        <v>22</v>
      </c>
      <c r="F79" s="46" t="s">
        <v>334</v>
      </c>
      <c r="G79" s="32" t="s">
        <v>335</v>
      </c>
      <c r="H79" s="32" t="s">
        <v>1416</v>
      </c>
      <c r="I79" s="34">
        <v>9</v>
      </c>
      <c r="J79" s="32" t="s">
        <v>27</v>
      </c>
      <c r="K79" s="32" t="s">
        <v>28</v>
      </c>
      <c r="L79" s="32" t="s">
        <v>29</v>
      </c>
      <c r="M79" s="32" t="s">
        <v>337</v>
      </c>
      <c r="N79" s="32" t="s">
        <v>338</v>
      </c>
    </row>
    <row r="80" spans="1:14" s="4" customFormat="1" ht="15.75" customHeight="1" x14ac:dyDescent="0.25">
      <c r="A80" s="49">
        <v>4541.5</v>
      </c>
      <c r="B80" s="32" t="s">
        <v>19</v>
      </c>
      <c r="C80" s="32" t="s">
        <v>20</v>
      </c>
      <c r="D80" s="32" t="s">
        <v>21</v>
      </c>
      <c r="E80" s="32" t="s">
        <v>22</v>
      </c>
      <c r="F80" s="46" t="s">
        <v>75</v>
      </c>
      <c r="G80" s="32" t="s">
        <v>340</v>
      </c>
      <c r="H80" s="32" t="s">
        <v>1417</v>
      </c>
      <c r="I80" s="34">
        <v>9</v>
      </c>
      <c r="J80" s="32" t="s">
        <v>27</v>
      </c>
      <c r="K80" s="32" t="s">
        <v>28</v>
      </c>
      <c r="L80" s="32" t="s">
        <v>29</v>
      </c>
      <c r="M80" s="32" t="s">
        <v>78</v>
      </c>
      <c r="N80" s="32" t="s">
        <v>342</v>
      </c>
    </row>
    <row r="81" spans="1:15" ht="15.75" customHeight="1" x14ac:dyDescent="0.25">
      <c r="A81" s="49">
        <v>3160.5</v>
      </c>
      <c r="B81" s="32" t="s">
        <v>19</v>
      </c>
      <c r="C81" s="32" t="s">
        <v>20</v>
      </c>
      <c r="D81" s="32" t="s">
        <v>21</v>
      </c>
      <c r="E81" s="32" t="s">
        <v>22</v>
      </c>
      <c r="F81" s="46" t="s">
        <v>39</v>
      </c>
      <c r="G81" s="32" t="s">
        <v>40</v>
      </c>
      <c r="H81" s="32" t="s">
        <v>1366</v>
      </c>
      <c r="I81" s="34">
        <v>9</v>
      </c>
      <c r="J81" s="32" t="s">
        <v>27</v>
      </c>
      <c r="K81" s="32" t="s">
        <v>28</v>
      </c>
      <c r="L81" s="32" t="s">
        <v>29</v>
      </c>
      <c r="M81" s="32" t="s">
        <v>42</v>
      </c>
      <c r="N81" s="32" t="s">
        <v>343</v>
      </c>
    </row>
    <row r="82" spans="1:15" ht="15.75" customHeight="1" x14ac:dyDescent="0.25">
      <c r="A82" s="49">
        <v>664.99</v>
      </c>
      <c r="B82" s="32" t="s">
        <v>19</v>
      </c>
      <c r="C82" s="32" t="s">
        <v>123</v>
      </c>
      <c r="D82" s="32" t="s">
        <v>124</v>
      </c>
      <c r="E82" s="32" t="s">
        <v>125</v>
      </c>
      <c r="F82" s="46" t="s">
        <v>135</v>
      </c>
      <c r="G82" s="32" t="s">
        <v>345</v>
      </c>
      <c r="H82" s="32" t="s">
        <v>1418</v>
      </c>
      <c r="I82" s="34">
        <v>1</v>
      </c>
      <c r="J82" s="32" t="s">
        <v>130</v>
      </c>
      <c r="K82" s="32" t="s">
        <v>28</v>
      </c>
      <c r="L82" s="32" t="s">
        <v>131</v>
      </c>
      <c r="M82" s="32" t="s">
        <v>138</v>
      </c>
      <c r="N82" s="32" t="s">
        <v>348</v>
      </c>
    </row>
    <row r="83" spans="1:15" ht="15.75" customHeight="1" x14ac:dyDescent="0.25">
      <c r="A83" s="49">
        <v>3166.5</v>
      </c>
      <c r="B83" s="32" t="s">
        <v>19</v>
      </c>
      <c r="C83" s="32" t="s">
        <v>20</v>
      </c>
      <c r="D83" s="32" t="s">
        <v>21</v>
      </c>
      <c r="E83" s="32" t="s">
        <v>22</v>
      </c>
      <c r="F83" s="46" t="s">
        <v>152</v>
      </c>
      <c r="G83" s="32" t="s">
        <v>350</v>
      </c>
      <c r="H83" s="32" t="s">
        <v>1419</v>
      </c>
      <c r="I83" s="34">
        <v>9</v>
      </c>
      <c r="J83" s="32" t="s">
        <v>27</v>
      </c>
      <c r="K83" s="32" t="s">
        <v>28</v>
      </c>
      <c r="L83" s="32" t="s">
        <v>29</v>
      </c>
      <c r="M83" s="32" t="s">
        <v>155</v>
      </c>
      <c r="N83" s="32" t="s">
        <v>352</v>
      </c>
    </row>
    <row r="84" spans="1:15" ht="15.75" customHeight="1" x14ac:dyDescent="0.25">
      <c r="A84" s="50">
        <v>1557.38</v>
      </c>
      <c r="B84" s="36" t="s">
        <v>19</v>
      </c>
      <c r="C84" s="36" t="s">
        <v>123</v>
      </c>
      <c r="D84" s="36" t="s">
        <v>124</v>
      </c>
      <c r="E84" s="36" t="s">
        <v>125</v>
      </c>
      <c r="F84" s="47" t="s">
        <v>135</v>
      </c>
      <c r="G84" s="36" t="s">
        <v>354</v>
      </c>
      <c r="H84" s="36" t="s">
        <v>1420</v>
      </c>
      <c r="I84" s="34">
        <v>8</v>
      </c>
      <c r="J84" s="36" t="s">
        <v>130</v>
      </c>
      <c r="K84" s="36" t="s">
        <v>28</v>
      </c>
      <c r="L84" s="36" t="s">
        <v>131</v>
      </c>
      <c r="M84" s="36" t="s">
        <v>138</v>
      </c>
      <c r="N84" s="36" t="s">
        <v>356</v>
      </c>
      <c r="O84"/>
    </row>
    <row r="85" spans="1:15" ht="15.75" customHeight="1" x14ac:dyDescent="0.25">
      <c r="A85" s="49">
        <v>4330</v>
      </c>
      <c r="B85" s="32" t="s">
        <v>19</v>
      </c>
      <c r="C85" s="32" t="s">
        <v>20</v>
      </c>
      <c r="D85" s="32" t="s">
        <v>21</v>
      </c>
      <c r="E85" s="32" t="s">
        <v>22</v>
      </c>
      <c r="F85" s="46" t="s">
        <v>152</v>
      </c>
      <c r="G85" s="32" t="s">
        <v>358</v>
      </c>
      <c r="H85" s="32" t="s">
        <v>1421</v>
      </c>
      <c r="I85" s="34">
        <v>9</v>
      </c>
      <c r="J85" s="32" t="s">
        <v>27</v>
      </c>
      <c r="K85" s="32" t="s">
        <v>28</v>
      </c>
      <c r="L85" s="32" t="s">
        <v>29</v>
      </c>
      <c r="M85" s="32" t="s">
        <v>155</v>
      </c>
      <c r="N85" s="32" t="s">
        <v>360</v>
      </c>
    </row>
    <row r="86" spans="1:15" ht="15.75" customHeight="1" x14ac:dyDescent="0.25">
      <c r="A86" s="49">
        <v>4750.5</v>
      </c>
      <c r="B86" s="32" t="s">
        <v>19</v>
      </c>
      <c r="C86" s="32" t="s">
        <v>20</v>
      </c>
      <c r="D86" s="32" t="s">
        <v>21</v>
      </c>
      <c r="E86" s="32" t="s">
        <v>22</v>
      </c>
      <c r="F86" s="46" t="s">
        <v>110</v>
      </c>
      <c r="G86" s="35" t="s">
        <v>111</v>
      </c>
      <c r="H86" s="32" t="s">
        <v>1378</v>
      </c>
      <c r="I86" s="34">
        <v>9</v>
      </c>
      <c r="J86" s="32" t="s">
        <v>27</v>
      </c>
      <c r="K86" s="32" t="s">
        <v>28</v>
      </c>
      <c r="L86" s="32" t="s">
        <v>29</v>
      </c>
      <c r="M86" s="32" t="s">
        <v>113</v>
      </c>
      <c r="N86" s="35" t="s">
        <v>362</v>
      </c>
    </row>
    <row r="87" spans="1:15" ht="15.75" customHeight="1" x14ac:dyDescent="0.25">
      <c r="A87" s="49">
        <v>3113</v>
      </c>
      <c r="B87" s="32" t="s">
        <v>19</v>
      </c>
      <c r="C87" s="32" t="s">
        <v>20</v>
      </c>
      <c r="D87" s="32" t="s">
        <v>21</v>
      </c>
      <c r="E87" s="32" t="s">
        <v>22</v>
      </c>
      <c r="F87" s="46" t="s">
        <v>49</v>
      </c>
      <c r="G87" s="32" t="s">
        <v>162</v>
      </c>
      <c r="H87" s="32" t="s">
        <v>1386</v>
      </c>
      <c r="I87" s="34">
        <v>9</v>
      </c>
      <c r="J87" s="32" t="s">
        <v>27</v>
      </c>
      <c r="K87" s="32" t="s">
        <v>28</v>
      </c>
      <c r="L87" s="32" t="s">
        <v>29</v>
      </c>
      <c r="M87" s="32" t="s">
        <v>52</v>
      </c>
      <c r="N87" s="32" t="s">
        <v>364</v>
      </c>
    </row>
    <row r="88" spans="1:15" ht="15.75" customHeight="1" x14ac:dyDescent="0.25">
      <c r="A88" s="49">
        <v>4229.5</v>
      </c>
      <c r="B88" s="32" t="s">
        <v>19</v>
      </c>
      <c r="C88" s="32" t="s">
        <v>20</v>
      </c>
      <c r="D88" s="32" t="s">
        <v>86</v>
      </c>
      <c r="E88" s="32" t="s">
        <v>22</v>
      </c>
      <c r="F88" s="46" t="s">
        <v>223</v>
      </c>
      <c r="G88" s="32" t="s">
        <v>258</v>
      </c>
      <c r="H88" s="32" t="s">
        <v>1403</v>
      </c>
      <c r="I88" s="34">
        <v>10</v>
      </c>
      <c r="J88" s="32" t="s">
        <v>89</v>
      </c>
      <c r="K88" s="32" t="s">
        <v>28</v>
      </c>
      <c r="L88" s="32" t="s">
        <v>29</v>
      </c>
      <c r="M88" s="32" t="s">
        <v>226</v>
      </c>
      <c r="N88" s="32" t="s">
        <v>365</v>
      </c>
    </row>
    <row r="89" spans="1:15" ht="15.75" customHeight="1" x14ac:dyDescent="0.25">
      <c r="A89" s="49">
        <v>6111.5</v>
      </c>
      <c r="B89" s="32" t="s">
        <v>19</v>
      </c>
      <c r="C89" s="32" t="s">
        <v>20</v>
      </c>
      <c r="D89" s="32" t="s">
        <v>86</v>
      </c>
      <c r="E89" s="32" t="s">
        <v>22</v>
      </c>
      <c r="F89" s="46" t="s">
        <v>180</v>
      </c>
      <c r="G89" s="32" t="s">
        <v>181</v>
      </c>
      <c r="H89" s="32" t="s">
        <v>1389</v>
      </c>
      <c r="I89" s="34">
        <v>10</v>
      </c>
      <c r="J89" s="32" t="s">
        <v>89</v>
      </c>
      <c r="K89" s="32" t="s">
        <v>28</v>
      </c>
      <c r="L89" s="32" t="s">
        <v>29</v>
      </c>
      <c r="M89" s="32" t="s">
        <v>183</v>
      </c>
      <c r="N89" s="32" t="s">
        <v>366</v>
      </c>
    </row>
    <row r="90" spans="1:15" ht="15.75" customHeight="1" x14ac:dyDescent="0.25">
      <c r="A90" s="49">
        <v>5212</v>
      </c>
      <c r="B90" s="32" t="s">
        <v>19</v>
      </c>
      <c r="C90" s="32" t="s">
        <v>20</v>
      </c>
      <c r="D90" s="32" t="s">
        <v>21</v>
      </c>
      <c r="E90" s="32" t="s">
        <v>22</v>
      </c>
      <c r="F90" s="46" t="s">
        <v>68</v>
      </c>
      <c r="G90" s="32" t="s">
        <v>69</v>
      </c>
      <c r="H90" s="32" t="s">
        <v>1371</v>
      </c>
      <c r="I90" s="34">
        <v>10</v>
      </c>
      <c r="J90" s="32" t="s">
        <v>27</v>
      </c>
      <c r="K90" s="32" t="s">
        <v>28</v>
      </c>
      <c r="L90" s="32" t="s">
        <v>29</v>
      </c>
      <c r="M90" s="32" t="s">
        <v>71</v>
      </c>
      <c r="N90" s="32" t="s">
        <v>367</v>
      </c>
    </row>
    <row r="91" spans="1:15" ht="15.75" customHeight="1" x14ac:dyDescent="0.25">
      <c r="A91" s="49">
        <v>4064.5</v>
      </c>
      <c r="B91" s="32" t="s">
        <v>19</v>
      </c>
      <c r="C91" s="32" t="s">
        <v>20</v>
      </c>
      <c r="D91" s="32" t="s">
        <v>86</v>
      </c>
      <c r="E91" s="32" t="s">
        <v>22</v>
      </c>
      <c r="F91" s="46" t="s">
        <v>223</v>
      </c>
      <c r="G91" s="32" t="s">
        <v>224</v>
      </c>
      <c r="H91" s="32" t="s">
        <v>1397</v>
      </c>
      <c r="I91" s="34">
        <v>1</v>
      </c>
      <c r="J91" s="32" t="s">
        <v>89</v>
      </c>
      <c r="K91" s="32" t="s">
        <v>28</v>
      </c>
      <c r="L91" s="32" t="s">
        <v>29</v>
      </c>
      <c r="M91" s="32" t="s">
        <v>226</v>
      </c>
      <c r="N91" s="32" t="s">
        <v>368</v>
      </c>
    </row>
    <row r="92" spans="1:15" ht="15.75" customHeight="1" x14ac:dyDescent="0.25">
      <c r="A92" s="49">
        <v>4229.5</v>
      </c>
      <c r="B92" s="32" t="s">
        <v>19</v>
      </c>
      <c r="C92" s="32" t="s">
        <v>20</v>
      </c>
      <c r="D92" s="32" t="s">
        <v>86</v>
      </c>
      <c r="E92" s="32" t="s">
        <v>22</v>
      </c>
      <c r="F92" s="46" t="s">
        <v>223</v>
      </c>
      <c r="G92" s="32" t="s">
        <v>229</v>
      </c>
      <c r="H92" s="32" t="s">
        <v>1398</v>
      </c>
      <c r="I92" s="34">
        <v>1</v>
      </c>
      <c r="J92" s="32" t="s">
        <v>89</v>
      </c>
      <c r="K92" s="32" t="s">
        <v>28</v>
      </c>
      <c r="L92" s="32" t="s">
        <v>29</v>
      </c>
      <c r="M92" s="32" t="s">
        <v>226</v>
      </c>
      <c r="N92" s="32" t="s">
        <v>369</v>
      </c>
    </row>
    <row r="93" spans="1:15" ht="15.75" customHeight="1" x14ac:dyDescent="0.25">
      <c r="A93" s="49">
        <v>3607.5</v>
      </c>
      <c r="B93" s="32" t="s">
        <v>19</v>
      </c>
      <c r="C93" s="32" t="s">
        <v>20</v>
      </c>
      <c r="D93" s="32" t="s">
        <v>86</v>
      </c>
      <c r="E93" s="32" t="s">
        <v>22</v>
      </c>
      <c r="F93" s="46" t="s">
        <v>92</v>
      </c>
      <c r="G93" s="32" t="s">
        <v>93</v>
      </c>
      <c r="H93" s="32" t="s">
        <v>1375</v>
      </c>
      <c r="I93" s="34">
        <v>1</v>
      </c>
      <c r="J93" s="32" t="s">
        <v>89</v>
      </c>
      <c r="K93" s="32" t="s">
        <v>28</v>
      </c>
      <c r="L93" s="32" t="s">
        <v>29</v>
      </c>
      <c r="M93" s="32" t="s">
        <v>95</v>
      </c>
      <c r="N93" s="32" t="s">
        <v>370</v>
      </c>
    </row>
    <row r="94" spans="1:15" ht="15.75" customHeight="1" x14ac:dyDescent="0.25">
      <c r="A94" s="49">
        <v>3095</v>
      </c>
      <c r="B94" s="32" t="s">
        <v>19</v>
      </c>
      <c r="C94" s="32" t="s">
        <v>20</v>
      </c>
      <c r="D94" s="32" t="s">
        <v>21</v>
      </c>
      <c r="E94" s="32" t="s">
        <v>22</v>
      </c>
      <c r="F94" s="46" t="s">
        <v>23</v>
      </c>
      <c r="G94" s="32" t="s">
        <v>197</v>
      </c>
      <c r="H94" s="32" t="s">
        <v>1392</v>
      </c>
      <c r="I94" s="34">
        <v>1</v>
      </c>
      <c r="J94" s="32" t="s">
        <v>27</v>
      </c>
      <c r="K94" s="32" t="s">
        <v>28</v>
      </c>
      <c r="L94" s="32" t="s">
        <v>29</v>
      </c>
      <c r="M94" s="32" t="s">
        <v>30</v>
      </c>
      <c r="N94" s="32" t="s">
        <v>371</v>
      </c>
    </row>
    <row r="95" spans="1:15" ht="15.75" customHeight="1" x14ac:dyDescent="0.25">
      <c r="A95" s="49">
        <v>4534</v>
      </c>
      <c r="B95" s="32" t="s">
        <v>19</v>
      </c>
      <c r="C95" s="32" t="s">
        <v>20</v>
      </c>
      <c r="D95" s="32" t="s">
        <v>21</v>
      </c>
      <c r="E95" s="32" t="s">
        <v>22</v>
      </c>
      <c r="F95" s="46" t="s">
        <v>61</v>
      </c>
      <c r="G95" s="32" t="s">
        <v>372</v>
      </c>
      <c r="H95" s="32" t="s">
        <v>1422</v>
      </c>
      <c r="I95" s="34">
        <v>1</v>
      </c>
      <c r="J95" s="32" t="s">
        <v>27</v>
      </c>
      <c r="K95" s="32" t="s">
        <v>28</v>
      </c>
      <c r="L95" s="32" t="s">
        <v>29</v>
      </c>
      <c r="M95" s="32" t="s">
        <v>65</v>
      </c>
      <c r="N95" s="32" t="s">
        <v>374</v>
      </c>
    </row>
    <row r="96" spans="1:15" ht="15.75" customHeight="1" x14ac:dyDescent="0.25">
      <c r="A96" s="49">
        <v>4280.5</v>
      </c>
      <c r="B96" s="32" t="s">
        <v>19</v>
      </c>
      <c r="C96" s="32" t="s">
        <v>20</v>
      </c>
      <c r="D96" s="32" t="s">
        <v>21</v>
      </c>
      <c r="E96" s="32" t="s">
        <v>22</v>
      </c>
      <c r="F96" s="46" t="s">
        <v>75</v>
      </c>
      <c r="G96" s="32" t="s">
        <v>376</v>
      </c>
      <c r="H96" s="32" t="s">
        <v>1423</v>
      </c>
      <c r="I96" s="34">
        <v>1</v>
      </c>
      <c r="J96" s="32" t="s">
        <v>27</v>
      </c>
      <c r="K96" s="32" t="s">
        <v>28</v>
      </c>
      <c r="L96" s="32" t="s">
        <v>29</v>
      </c>
      <c r="M96" s="32" t="s">
        <v>78</v>
      </c>
      <c r="N96" s="32" t="s">
        <v>378</v>
      </c>
    </row>
    <row r="97" spans="1:14" s="4" customFormat="1" ht="15.75" customHeight="1" x14ac:dyDescent="0.25">
      <c r="A97" s="49">
        <v>3166.5</v>
      </c>
      <c r="B97" s="32" t="s">
        <v>19</v>
      </c>
      <c r="C97" s="32" t="s">
        <v>20</v>
      </c>
      <c r="D97" s="32" t="s">
        <v>21</v>
      </c>
      <c r="E97" s="32" t="s">
        <v>22</v>
      </c>
      <c r="F97" s="46" t="s">
        <v>152</v>
      </c>
      <c r="G97" s="32" t="s">
        <v>379</v>
      </c>
      <c r="H97" s="32" t="s">
        <v>1424</v>
      </c>
      <c r="I97" s="34">
        <v>1</v>
      </c>
      <c r="J97" s="32" t="s">
        <v>27</v>
      </c>
      <c r="K97" s="32" t="s">
        <v>28</v>
      </c>
      <c r="L97" s="32" t="s">
        <v>29</v>
      </c>
      <c r="M97" s="32" t="s">
        <v>155</v>
      </c>
      <c r="N97" s="32" t="s">
        <v>381</v>
      </c>
    </row>
    <row r="98" spans="1:14" s="4" customFormat="1" ht="15.75" customHeight="1" x14ac:dyDescent="0.25">
      <c r="A98" s="49">
        <v>5212</v>
      </c>
      <c r="B98" s="32" t="s">
        <v>19</v>
      </c>
      <c r="C98" s="32" t="s">
        <v>20</v>
      </c>
      <c r="D98" s="32" t="s">
        <v>21</v>
      </c>
      <c r="E98" s="32" t="s">
        <v>22</v>
      </c>
      <c r="F98" s="46" t="s">
        <v>382</v>
      </c>
      <c r="G98" s="32" t="s">
        <v>383</v>
      </c>
      <c r="H98" s="32" t="s">
        <v>1425</v>
      </c>
      <c r="I98" s="34">
        <v>1</v>
      </c>
      <c r="J98" s="32" t="s">
        <v>27</v>
      </c>
      <c r="K98" s="32" t="s">
        <v>28</v>
      </c>
      <c r="L98" s="32" t="s">
        <v>29</v>
      </c>
      <c r="M98" s="32" t="s">
        <v>385</v>
      </c>
      <c r="N98" s="32" t="s">
        <v>386</v>
      </c>
    </row>
    <row r="99" spans="1:14" s="4" customFormat="1" ht="15.75" customHeight="1" x14ac:dyDescent="0.25">
      <c r="A99" s="49">
        <v>3340.5</v>
      </c>
      <c r="B99" s="32" t="s">
        <v>19</v>
      </c>
      <c r="C99" s="32" t="s">
        <v>20</v>
      </c>
      <c r="D99" s="32" t="s">
        <v>21</v>
      </c>
      <c r="E99" s="32" t="s">
        <v>22</v>
      </c>
      <c r="F99" s="46" t="s">
        <v>49</v>
      </c>
      <c r="G99" s="32" t="s">
        <v>387</v>
      </c>
      <c r="H99" s="32" t="s">
        <v>1426</v>
      </c>
      <c r="I99" s="34">
        <v>1</v>
      </c>
      <c r="J99" s="32" t="s">
        <v>27</v>
      </c>
      <c r="K99" s="32" t="s">
        <v>28</v>
      </c>
      <c r="L99" s="32" t="s">
        <v>29</v>
      </c>
      <c r="M99" s="32" t="s">
        <v>52</v>
      </c>
      <c r="N99" s="32" t="s">
        <v>389</v>
      </c>
    </row>
    <row r="100" spans="1:14" s="4" customFormat="1" ht="15.75" customHeight="1" x14ac:dyDescent="0.25">
      <c r="A100" s="49">
        <v>5317</v>
      </c>
      <c r="B100" s="32" t="s">
        <v>19</v>
      </c>
      <c r="C100" s="32" t="s">
        <v>20</v>
      </c>
      <c r="D100" s="32" t="s">
        <v>21</v>
      </c>
      <c r="E100" s="32" t="s">
        <v>22</v>
      </c>
      <c r="F100" s="46" t="s">
        <v>167</v>
      </c>
      <c r="G100" s="32" t="s">
        <v>390</v>
      </c>
      <c r="H100" s="32" t="s">
        <v>1427</v>
      </c>
      <c r="I100" s="34">
        <v>1</v>
      </c>
      <c r="J100" s="32" t="s">
        <v>27</v>
      </c>
      <c r="K100" s="32" t="s">
        <v>28</v>
      </c>
      <c r="L100" s="32" t="s">
        <v>29</v>
      </c>
      <c r="M100" s="32" t="s">
        <v>170</v>
      </c>
      <c r="N100" s="32" t="s">
        <v>392</v>
      </c>
    </row>
    <row r="101" spans="1:14" s="4" customFormat="1" ht="15.75" customHeight="1" x14ac:dyDescent="0.25">
      <c r="A101" s="49">
        <v>4064.5</v>
      </c>
      <c r="B101" s="32" t="s">
        <v>19</v>
      </c>
      <c r="C101" s="32" t="s">
        <v>20</v>
      </c>
      <c r="D101" s="32" t="s">
        <v>86</v>
      </c>
      <c r="E101" s="32" t="s">
        <v>22</v>
      </c>
      <c r="F101" s="46" t="s">
        <v>223</v>
      </c>
      <c r="G101" s="32" t="s">
        <v>224</v>
      </c>
      <c r="H101" s="32" t="s">
        <v>1397</v>
      </c>
      <c r="I101" s="34">
        <v>2</v>
      </c>
      <c r="J101" s="32" t="s">
        <v>89</v>
      </c>
      <c r="K101" s="32" t="s">
        <v>28</v>
      </c>
      <c r="L101" s="32" t="s">
        <v>29</v>
      </c>
      <c r="M101" s="32" t="s">
        <v>226</v>
      </c>
      <c r="N101" s="32" t="s">
        <v>393</v>
      </c>
    </row>
    <row r="102" spans="1:14" s="4" customFormat="1" ht="15.75" customHeight="1" x14ac:dyDescent="0.25">
      <c r="A102" s="49">
        <v>4766</v>
      </c>
      <c r="B102" s="32" t="s">
        <v>19</v>
      </c>
      <c r="C102" s="32" t="s">
        <v>20</v>
      </c>
      <c r="D102" s="32" t="s">
        <v>86</v>
      </c>
      <c r="E102" s="32" t="s">
        <v>22</v>
      </c>
      <c r="F102" s="46" t="s">
        <v>98</v>
      </c>
      <c r="G102" s="32" t="s">
        <v>99</v>
      </c>
      <c r="H102" s="32" t="s">
        <v>1376</v>
      </c>
      <c r="I102" s="34">
        <v>2</v>
      </c>
      <c r="J102" s="32" t="s">
        <v>89</v>
      </c>
      <c r="K102" s="32" t="s">
        <v>28</v>
      </c>
      <c r="L102" s="32" t="s">
        <v>29</v>
      </c>
      <c r="M102" s="32" t="s">
        <v>101</v>
      </c>
      <c r="N102" s="32" t="s">
        <v>394</v>
      </c>
    </row>
    <row r="103" spans="1:14" s="4" customFormat="1" ht="15.75" customHeight="1" x14ac:dyDescent="0.25">
      <c r="A103" s="49">
        <v>985.6</v>
      </c>
      <c r="B103" s="32" t="s">
        <v>19</v>
      </c>
      <c r="C103" s="32" t="s">
        <v>20</v>
      </c>
      <c r="D103" s="32" t="s">
        <v>86</v>
      </c>
      <c r="E103" s="32" t="s">
        <v>22</v>
      </c>
      <c r="F103" s="46" t="s">
        <v>186</v>
      </c>
      <c r="G103" s="32" t="s">
        <v>187</v>
      </c>
      <c r="H103" s="32" t="s">
        <v>1390</v>
      </c>
      <c r="I103" s="34">
        <v>2</v>
      </c>
      <c r="J103" s="32" t="s">
        <v>89</v>
      </c>
      <c r="K103" s="32" t="s">
        <v>28</v>
      </c>
      <c r="L103" s="32" t="s">
        <v>29</v>
      </c>
      <c r="M103" s="32" t="s">
        <v>190</v>
      </c>
      <c r="N103" s="32" t="s">
        <v>396</v>
      </c>
    </row>
    <row r="104" spans="1:14" s="4" customFormat="1" ht="15.75" customHeight="1" x14ac:dyDescent="0.25">
      <c r="A104" s="49">
        <v>3394.5</v>
      </c>
      <c r="B104" s="32" t="s">
        <v>19</v>
      </c>
      <c r="C104" s="32" t="s">
        <v>20</v>
      </c>
      <c r="D104" s="32" t="s">
        <v>21</v>
      </c>
      <c r="E104" s="32" t="s">
        <v>22</v>
      </c>
      <c r="F104" s="46" t="s">
        <v>201</v>
      </c>
      <c r="G104" s="32" t="s">
        <v>202</v>
      </c>
      <c r="H104" s="32" t="s">
        <v>1393</v>
      </c>
      <c r="I104" s="34">
        <v>2</v>
      </c>
      <c r="J104" s="32" t="s">
        <v>27</v>
      </c>
      <c r="K104" s="32" t="s">
        <v>28</v>
      </c>
      <c r="L104" s="32" t="s">
        <v>29</v>
      </c>
      <c r="M104" s="32" t="s">
        <v>204</v>
      </c>
      <c r="N104" s="32" t="s">
        <v>397</v>
      </c>
    </row>
    <row r="105" spans="1:14" s="4" customFormat="1" ht="15.75" customHeight="1" x14ac:dyDescent="0.25">
      <c r="A105" s="49">
        <v>2665.5</v>
      </c>
      <c r="B105" s="32" t="s">
        <v>19</v>
      </c>
      <c r="C105" s="32" t="s">
        <v>20</v>
      </c>
      <c r="D105" s="32" t="s">
        <v>21</v>
      </c>
      <c r="E105" s="32" t="s">
        <v>22</v>
      </c>
      <c r="F105" s="46" t="s">
        <v>75</v>
      </c>
      <c r="G105" s="32" t="s">
        <v>399</v>
      </c>
      <c r="H105" s="32" t="s">
        <v>1428</v>
      </c>
      <c r="I105" s="34">
        <v>2</v>
      </c>
      <c r="J105" s="32" t="s">
        <v>27</v>
      </c>
      <c r="K105" s="32" t="s">
        <v>28</v>
      </c>
      <c r="L105" s="32" t="s">
        <v>29</v>
      </c>
      <c r="M105" s="32" t="s">
        <v>78</v>
      </c>
      <c r="N105" s="32" t="s">
        <v>401</v>
      </c>
    </row>
    <row r="106" spans="1:14" s="4" customFormat="1" ht="15.75" customHeight="1" x14ac:dyDescent="0.25">
      <c r="A106" s="49">
        <v>4280.5</v>
      </c>
      <c r="B106" s="32" t="s">
        <v>19</v>
      </c>
      <c r="C106" s="32" t="s">
        <v>20</v>
      </c>
      <c r="D106" s="32" t="s">
        <v>21</v>
      </c>
      <c r="E106" s="32" t="s">
        <v>22</v>
      </c>
      <c r="F106" s="46" t="s">
        <v>75</v>
      </c>
      <c r="G106" s="32" t="s">
        <v>376</v>
      </c>
      <c r="H106" s="32" t="s">
        <v>1423</v>
      </c>
      <c r="I106" s="34">
        <v>2</v>
      </c>
      <c r="J106" s="32" t="s">
        <v>27</v>
      </c>
      <c r="K106" s="32" t="s">
        <v>28</v>
      </c>
      <c r="L106" s="32" t="s">
        <v>29</v>
      </c>
      <c r="M106" s="32" t="s">
        <v>78</v>
      </c>
      <c r="N106" s="32" t="s">
        <v>402</v>
      </c>
    </row>
    <row r="107" spans="1:14" s="4" customFormat="1" ht="15.75" customHeight="1" x14ac:dyDescent="0.25">
      <c r="A107" s="49">
        <v>3160.5</v>
      </c>
      <c r="B107" s="32" t="s">
        <v>19</v>
      </c>
      <c r="C107" s="32" t="s">
        <v>20</v>
      </c>
      <c r="D107" s="32" t="s">
        <v>21</v>
      </c>
      <c r="E107" s="32" t="s">
        <v>22</v>
      </c>
      <c r="F107" s="46" t="s">
        <v>39</v>
      </c>
      <c r="G107" s="32" t="s">
        <v>40</v>
      </c>
      <c r="H107" s="32" t="s">
        <v>1366</v>
      </c>
      <c r="I107" s="34">
        <v>2</v>
      </c>
      <c r="J107" s="32" t="s">
        <v>27</v>
      </c>
      <c r="K107" s="32" t="s">
        <v>28</v>
      </c>
      <c r="L107" s="32" t="s">
        <v>29</v>
      </c>
      <c r="M107" s="32" t="s">
        <v>42</v>
      </c>
      <c r="N107" s="32" t="s">
        <v>403</v>
      </c>
    </row>
    <row r="108" spans="1:14" s="4" customFormat="1" ht="15.75" customHeight="1" x14ac:dyDescent="0.25">
      <c r="A108" s="49">
        <v>2708</v>
      </c>
      <c r="B108" s="32" t="s">
        <v>19</v>
      </c>
      <c r="C108" s="32" t="s">
        <v>20</v>
      </c>
      <c r="D108" s="32" t="s">
        <v>21</v>
      </c>
      <c r="E108" s="32" t="s">
        <v>22</v>
      </c>
      <c r="F108" s="46" t="s">
        <v>104</v>
      </c>
      <c r="G108" s="32" t="s">
        <v>105</v>
      </c>
      <c r="H108" s="32" t="s">
        <v>1377</v>
      </c>
      <c r="I108" s="34">
        <v>2</v>
      </c>
      <c r="J108" s="32" t="s">
        <v>27</v>
      </c>
      <c r="K108" s="32" t="s">
        <v>28</v>
      </c>
      <c r="L108" s="32" t="s">
        <v>29</v>
      </c>
      <c r="M108" s="32" t="s">
        <v>107</v>
      </c>
      <c r="N108" s="32" t="s">
        <v>404</v>
      </c>
    </row>
    <row r="109" spans="1:14" s="4" customFormat="1" ht="15.75" customHeight="1" x14ac:dyDescent="0.25">
      <c r="A109" s="49">
        <v>3360.5</v>
      </c>
      <c r="B109" s="32" t="s">
        <v>19</v>
      </c>
      <c r="C109" s="32" t="s">
        <v>20</v>
      </c>
      <c r="D109" s="32" t="s">
        <v>21</v>
      </c>
      <c r="E109" s="32" t="s">
        <v>22</v>
      </c>
      <c r="F109" s="46" t="s">
        <v>104</v>
      </c>
      <c r="G109" s="32" t="s">
        <v>406</v>
      </c>
      <c r="H109" s="32" t="s">
        <v>1429</v>
      </c>
      <c r="I109" s="34">
        <v>2</v>
      </c>
      <c r="J109" s="32" t="s">
        <v>27</v>
      </c>
      <c r="K109" s="32" t="s">
        <v>28</v>
      </c>
      <c r="L109" s="32" t="s">
        <v>29</v>
      </c>
      <c r="M109" s="32" t="s">
        <v>107</v>
      </c>
      <c r="N109" s="32" t="s">
        <v>408</v>
      </c>
    </row>
    <row r="110" spans="1:14" s="4" customFormat="1" ht="15.75" customHeight="1" x14ac:dyDescent="0.25">
      <c r="A110" s="49">
        <v>3245.5</v>
      </c>
      <c r="B110" s="32" t="s">
        <v>19</v>
      </c>
      <c r="C110" s="32" t="s">
        <v>20</v>
      </c>
      <c r="D110" s="32" t="s">
        <v>21</v>
      </c>
      <c r="E110" s="32" t="s">
        <v>22</v>
      </c>
      <c r="F110" s="46" t="s">
        <v>217</v>
      </c>
      <c r="G110" s="32" t="s">
        <v>218</v>
      </c>
      <c r="H110" s="32" t="s">
        <v>1396</v>
      </c>
      <c r="I110" s="34">
        <v>2</v>
      </c>
      <c r="J110" s="32" t="s">
        <v>27</v>
      </c>
      <c r="K110" s="32" t="s">
        <v>28</v>
      </c>
      <c r="L110" s="32" t="s">
        <v>29</v>
      </c>
      <c r="M110" s="32" t="s">
        <v>220</v>
      </c>
      <c r="N110" s="32" t="s">
        <v>409</v>
      </c>
    </row>
    <row r="111" spans="1:14" s="4" customFormat="1" ht="15.75" customHeight="1" x14ac:dyDescent="0.25">
      <c r="A111" s="49">
        <v>5317</v>
      </c>
      <c r="B111" s="32" t="s">
        <v>19</v>
      </c>
      <c r="C111" s="32" t="s">
        <v>20</v>
      </c>
      <c r="D111" s="32" t="s">
        <v>21</v>
      </c>
      <c r="E111" s="32" t="s">
        <v>22</v>
      </c>
      <c r="F111" s="46" t="s">
        <v>167</v>
      </c>
      <c r="G111" s="32" t="s">
        <v>390</v>
      </c>
      <c r="H111" s="32" t="s">
        <v>1427</v>
      </c>
      <c r="I111" s="34">
        <v>2</v>
      </c>
      <c r="J111" s="32" t="s">
        <v>27</v>
      </c>
      <c r="K111" s="32" t="s">
        <v>28</v>
      </c>
      <c r="L111" s="32" t="s">
        <v>29</v>
      </c>
      <c r="M111" s="32" t="s">
        <v>170</v>
      </c>
      <c r="N111" s="32" t="s">
        <v>410</v>
      </c>
    </row>
    <row r="112" spans="1:14" s="4" customFormat="1" ht="15.75" customHeight="1" x14ac:dyDescent="0.25">
      <c r="A112" s="49">
        <v>3467</v>
      </c>
      <c r="B112" s="32" t="s">
        <v>19</v>
      </c>
      <c r="C112" s="32" t="s">
        <v>20</v>
      </c>
      <c r="D112" s="32" t="s">
        <v>86</v>
      </c>
      <c r="E112" s="32" t="s">
        <v>22</v>
      </c>
      <c r="F112" s="46" t="s">
        <v>223</v>
      </c>
      <c r="G112" s="32" t="s">
        <v>412</v>
      </c>
      <c r="H112" s="32" t="s">
        <v>1430</v>
      </c>
      <c r="I112" s="34">
        <v>3</v>
      </c>
      <c r="J112" s="32" t="s">
        <v>89</v>
      </c>
      <c r="K112" s="32" t="s">
        <v>28</v>
      </c>
      <c r="L112" s="32" t="s">
        <v>29</v>
      </c>
      <c r="M112" s="32" t="s">
        <v>226</v>
      </c>
      <c r="N112" s="32" t="s">
        <v>414</v>
      </c>
    </row>
    <row r="113" spans="1:14" s="4" customFormat="1" ht="15.75" customHeight="1" x14ac:dyDescent="0.25">
      <c r="A113" s="49">
        <v>365.75</v>
      </c>
      <c r="B113" s="32" t="s">
        <v>19</v>
      </c>
      <c r="C113" s="32" t="s">
        <v>20</v>
      </c>
      <c r="D113" s="32" t="s">
        <v>86</v>
      </c>
      <c r="E113" s="32" t="s">
        <v>22</v>
      </c>
      <c r="F113" s="46" t="s">
        <v>186</v>
      </c>
      <c r="G113" s="32" t="s">
        <v>416</v>
      </c>
      <c r="H113" s="32" t="s">
        <v>1431</v>
      </c>
      <c r="I113" s="34">
        <v>3</v>
      </c>
      <c r="J113" s="32" t="s">
        <v>89</v>
      </c>
      <c r="K113" s="32" t="s">
        <v>28</v>
      </c>
      <c r="L113" s="32" t="s">
        <v>29</v>
      </c>
      <c r="M113" s="32" t="s">
        <v>190</v>
      </c>
      <c r="N113" s="32" t="s">
        <v>418</v>
      </c>
    </row>
    <row r="114" spans="1:14" s="4" customFormat="1" ht="15.75" customHeight="1" x14ac:dyDescent="0.25">
      <c r="A114" s="49">
        <v>3160.5</v>
      </c>
      <c r="B114" s="32" t="s">
        <v>19</v>
      </c>
      <c r="C114" s="32" t="s">
        <v>20</v>
      </c>
      <c r="D114" s="32" t="s">
        <v>21</v>
      </c>
      <c r="E114" s="32" t="s">
        <v>22</v>
      </c>
      <c r="F114" s="46" t="s">
        <v>39</v>
      </c>
      <c r="G114" s="32" t="s">
        <v>40</v>
      </c>
      <c r="H114" s="32" t="s">
        <v>1366</v>
      </c>
      <c r="I114" s="34">
        <v>3</v>
      </c>
      <c r="J114" s="32" t="s">
        <v>27</v>
      </c>
      <c r="K114" s="32" t="s">
        <v>28</v>
      </c>
      <c r="L114" s="32" t="s">
        <v>29</v>
      </c>
      <c r="M114" s="32" t="s">
        <v>42</v>
      </c>
      <c r="N114" s="32" t="s">
        <v>419</v>
      </c>
    </row>
    <row r="115" spans="1:14" s="4" customFormat="1" ht="15.75" customHeight="1" x14ac:dyDescent="0.25">
      <c r="A115" s="49">
        <v>5816.5</v>
      </c>
      <c r="B115" s="32" t="s">
        <v>19</v>
      </c>
      <c r="C115" s="32" t="s">
        <v>20</v>
      </c>
      <c r="D115" s="32" t="s">
        <v>21</v>
      </c>
      <c r="E115" s="32" t="s">
        <v>22</v>
      </c>
      <c r="F115" s="46" t="s">
        <v>167</v>
      </c>
      <c r="G115" s="32" t="s">
        <v>420</v>
      </c>
      <c r="H115" s="32" t="s">
        <v>1432</v>
      </c>
      <c r="I115" s="34">
        <v>3</v>
      </c>
      <c r="J115" s="32" t="s">
        <v>27</v>
      </c>
      <c r="K115" s="32" t="s">
        <v>28</v>
      </c>
      <c r="L115" s="32" t="s">
        <v>29</v>
      </c>
      <c r="M115" s="32" t="s">
        <v>170</v>
      </c>
      <c r="N115" s="32" t="s">
        <v>422</v>
      </c>
    </row>
    <row r="116" spans="1:14" s="4" customFormat="1" ht="15.75" customHeight="1" x14ac:dyDescent="0.25">
      <c r="A116" s="49">
        <v>3467</v>
      </c>
      <c r="B116" s="32" t="s">
        <v>19</v>
      </c>
      <c r="C116" s="32" t="s">
        <v>20</v>
      </c>
      <c r="D116" s="32" t="s">
        <v>86</v>
      </c>
      <c r="E116" s="32" t="s">
        <v>22</v>
      </c>
      <c r="F116" s="46" t="s">
        <v>223</v>
      </c>
      <c r="G116" s="32" t="s">
        <v>423</v>
      </c>
      <c r="H116" s="32" t="s">
        <v>1433</v>
      </c>
      <c r="I116" s="34">
        <v>4</v>
      </c>
      <c r="J116" s="32" t="s">
        <v>89</v>
      </c>
      <c r="K116" s="32" t="s">
        <v>28</v>
      </c>
      <c r="L116" s="32" t="s">
        <v>29</v>
      </c>
      <c r="M116" s="32" t="s">
        <v>226</v>
      </c>
      <c r="N116" s="32" t="s">
        <v>425</v>
      </c>
    </row>
    <row r="117" spans="1:14" s="4" customFormat="1" ht="15.75" customHeight="1" x14ac:dyDescent="0.25">
      <c r="A117" s="49">
        <v>3467</v>
      </c>
      <c r="B117" s="32" t="s">
        <v>19</v>
      </c>
      <c r="C117" s="32" t="s">
        <v>20</v>
      </c>
      <c r="D117" s="32" t="s">
        <v>86</v>
      </c>
      <c r="E117" s="32" t="s">
        <v>22</v>
      </c>
      <c r="F117" s="46" t="s">
        <v>223</v>
      </c>
      <c r="G117" s="32" t="s">
        <v>412</v>
      </c>
      <c r="H117" s="32" t="s">
        <v>1430</v>
      </c>
      <c r="I117" s="34">
        <v>4</v>
      </c>
      <c r="J117" s="32" t="s">
        <v>89</v>
      </c>
      <c r="K117" s="32" t="s">
        <v>28</v>
      </c>
      <c r="L117" s="32" t="s">
        <v>29</v>
      </c>
      <c r="M117" s="32" t="s">
        <v>226</v>
      </c>
      <c r="N117" s="32" t="s">
        <v>426</v>
      </c>
    </row>
    <row r="118" spans="1:14" s="4" customFormat="1" ht="15.75" customHeight="1" x14ac:dyDescent="0.25">
      <c r="A118" s="49">
        <v>4229.5</v>
      </c>
      <c r="B118" s="32" t="s">
        <v>19</v>
      </c>
      <c r="C118" s="32" t="s">
        <v>20</v>
      </c>
      <c r="D118" s="32" t="s">
        <v>86</v>
      </c>
      <c r="E118" s="32" t="s">
        <v>22</v>
      </c>
      <c r="F118" s="46" t="s">
        <v>223</v>
      </c>
      <c r="G118" s="32" t="s">
        <v>258</v>
      </c>
      <c r="H118" s="32" t="s">
        <v>1403</v>
      </c>
      <c r="I118" s="34">
        <v>4</v>
      </c>
      <c r="J118" s="32" t="s">
        <v>89</v>
      </c>
      <c r="K118" s="32" t="s">
        <v>28</v>
      </c>
      <c r="L118" s="32" t="s">
        <v>29</v>
      </c>
      <c r="M118" s="32" t="s">
        <v>226</v>
      </c>
      <c r="N118" s="32" t="s">
        <v>427</v>
      </c>
    </row>
    <row r="119" spans="1:14" s="4" customFormat="1" ht="15.75" customHeight="1" x14ac:dyDescent="0.25">
      <c r="A119" s="49">
        <v>3607.5</v>
      </c>
      <c r="B119" s="32" t="s">
        <v>19</v>
      </c>
      <c r="C119" s="32" t="s">
        <v>20</v>
      </c>
      <c r="D119" s="32" t="s">
        <v>86</v>
      </c>
      <c r="E119" s="32" t="s">
        <v>22</v>
      </c>
      <c r="F119" s="46" t="s">
        <v>92</v>
      </c>
      <c r="G119" s="32" t="s">
        <v>93</v>
      </c>
      <c r="H119" s="32" t="s">
        <v>1375</v>
      </c>
      <c r="I119" s="34">
        <v>4</v>
      </c>
      <c r="J119" s="32" t="s">
        <v>89</v>
      </c>
      <c r="K119" s="32" t="s">
        <v>28</v>
      </c>
      <c r="L119" s="32" t="s">
        <v>29</v>
      </c>
      <c r="M119" s="32" t="s">
        <v>95</v>
      </c>
      <c r="N119" s="32" t="s">
        <v>428</v>
      </c>
    </row>
    <row r="120" spans="1:14" s="4" customFormat="1" ht="15.75" customHeight="1" x14ac:dyDescent="0.25">
      <c r="A120" s="49">
        <v>4766</v>
      </c>
      <c r="B120" s="32" t="s">
        <v>19</v>
      </c>
      <c r="C120" s="32" t="s">
        <v>20</v>
      </c>
      <c r="D120" s="32" t="s">
        <v>86</v>
      </c>
      <c r="E120" s="32" t="s">
        <v>22</v>
      </c>
      <c r="F120" s="46" t="s">
        <v>98</v>
      </c>
      <c r="G120" s="32" t="s">
        <v>99</v>
      </c>
      <c r="H120" s="32" t="s">
        <v>1376</v>
      </c>
      <c r="I120" s="34">
        <v>4</v>
      </c>
      <c r="J120" s="32" t="s">
        <v>89</v>
      </c>
      <c r="K120" s="32" t="s">
        <v>28</v>
      </c>
      <c r="L120" s="32" t="s">
        <v>29</v>
      </c>
      <c r="M120" s="32" t="s">
        <v>101</v>
      </c>
      <c r="N120" s="32" t="s">
        <v>429</v>
      </c>
    </row>
    <row r="121" spans="1:14" s="4" customFormat="1" ht="15.75" customHeight="1" x14ac:dyDescent="0.25">
      <c r="A121" s="49">
        <v>4280.5</v>
      </c>
      <c r="B121" s="32" t="s">
        <v>19</v>
      </c>
      <c r="C121" s="32" t="s">
        <v>20</v>
      </c>
      <c r="D121" s="32" t="s">
        <v>21</v>
      </c>
      <c r="E121" s="32" t="s">
        <v>22</v>
      </c>
      <c r="F121" s="46" t="s">
        <v>75</v>
      </c>
      <c r="G121" s="32" t="s">
        <v>376</v>
      </c>
      <c r="H121" s="32" t="s">
        <v>1423</v>
      </c>
      <c r="I121" s="34">
        <v>4</v>
      </c>
      <c r="J121" s="32" t="s">
        <v>27</v>
      </c>
      <c r="K121" s="32" t="s">
        <v>28</v>
      </c>
      <c r="L121" s="32" t="s">
        <v>29</v>
      </c>
      <c r="M121" s="32" t="s">
        <v>78</v>
      </c>
      <c r="N121" s="32" t="s">
        <v>430</v>
      </c>
    </row>
    <row r="122" spans="1:14" s="4" customFormat="1" ht="15.75" customHeight="1" x14ac:dyDescent="0.25">
      <c r="A122" s="49">
        <v>3250</v>
      </c>
      <c r="B122" s="32" t="s">
        <v>19</v>
      </c>
      <c r="C122" s="32" t="s">
        <v>20</v>
      </c>
      <c r="D122" s="32" t="s">
        <v>21</v>
      </c>
      <c r="E122" s="32" t="s">
        <v>22</v>
      </c>
      <c r="F122" s="46" t="s">
        <v>39</v>
      </c>
      <c r="G122" s="32" t="s">
        <v>213</v>
      </c>
      <c r="H122" s="32" t="s">
        <v>1395</v>
      </c>
      <c r="I122" s="34">
        <v>4</v>
      </c>
      <c r="J122" s="32" t="s">
        <v>27</v>
      </c>
      <c r="K122" s="32" t="s">
        <v>28</v>
      </c>
      <c r="L122" s="32" t="s">
        <v>29</v>
      </c>
      <c r="M122" s="32" t="s">
        <v>42</v>
      </c>
      <c r="N122" s="32" t="s">
        <v>431</v>
      </c>
    </row>
    <row r="123" spans="1:14" s="4" customFormat="1" ht="15.75" customHeight="1" x14ac:dyDescent="0.25">
      <c r="A123" s="49">
        <v>4274</v>
      </c>
      <c r="B123" s="32" t="s">
        <v>19</v>
      </c>
      <c r="C123" s="32" t="s">
        <v>20</v>
      </c>
      <c r="D123" s="32" t="s">
        <v>21</v>
      </c>
      <c r="E123" s="32" t="s">
        <v>22</v>
      </c>
      <c r="F123" s="46" t="s">
        <v>39</v>
      </c>
      <c r="G123" s="32" t="s">
        <v>432</v>
      </c>
      <c r="H123" s="32" t="s">
        <v>1434</v>
      </c>
      <c r="I123" s="34">
        <v>4</v>
      </c>
      <c r="J123" s="32" t="s">
        <v>27</v>
      </c>
      <c r="K123" s="32" t="s">
        <v>28</v>
      </c>
      <c r="L123" s="32" t="s">
        <v>29</v>
      </c>
      <c r="M123" s="32" t="s">
        <v>42</v>
      </c>
      <c r="N123" s="32" t="s">
        <v>434</v>
      </c>
    </row>
    <row r="124" spans="1:14" s="4" customFormat="1" ht="15.75" customHeight="1" x14ac:dyDescent="0.25">
      <c r="A124" s="49">
        <v>4444.5</v>
      </c>
      <c r="B124" s="32" t="s">
        <v>19</v>
      </c>
      <c r="C124" s="32" t="s">
        <v>20</v>
      </c>
      <c r="D124" s="32" t="s">
        <v>21</v>
      </c>
      <c r="E124" s="32" t="s">
        <v>22</v>
      </c>
      <c r="F124" s="46" t="s">
        <v>314</v>
      </c>
      <c r="G124" s="32" t="s">
        <v>315</v>
      </c>
      <c r="H124" s="32" t="s">
        <v>1413</v>
      </c>
      <c r="I124" s="34">
        <v>4</v>
      </c>
      <c r="J124" s="32" t="s">
        <v>27</v>
      </c>
      <c r="K124" s="32" t="s">
        <v>28</v>
      </c>
      <c r="L124" s="32" t="s">
        <v>29</v>
      </c>
      <c r="M124" s="32" t="s">
        <v>317</v>
      </c>
      <c r="N124" s="32" t="s">
        <v>435</v>
      </c>
    </row>
    <row r="125" spans="1:14" s="4" customFormat="1" ht="15.75" customHeight="1" x14ac:dyDescent="0.25">
      <c r="A125" s="49">
        <v>3166.5</v>
      </c>
      <c r="B125" s="32" t="s">
        <v>19</v>
      </c>
      <c r="C125" s="32" t="s">
        <v>20</v>
      </c>
      <c r="D125" s="32" t="s">
        <v>21</v>
      </c>
      <c r="E125" s="32" t="s">
        <v>22</v>
      </c>
      <c r="F125" s="46" t="s">
        <v>152</v>
      </c>
      <c r="G125" s="32" t="s">
        <v>436</v>
      </c>
      <c r="H125" s="32" t="s">
        <v>1435</v>
      </c>
      <c r="I125" s="34">
        <v>4</v>
      </c>
      <c r="J125" s="32" t="s">
        <v>27</v>
      </c>
      <c r="K125" s="32" t="s">
        <v>28</v>
      </c>
      <c r="L125" s="32" t="s">
        <v>29</v>
      </c>
      <c r="M125" s="32" t="s">
        <v>155</v>
      </c>
      <c r="N125" s="32" t="s">
        <v>438</v>
      </c>
    </row>
    <row r="126" spans="1:14" s="4" customFormat="1" ht="15.75" customHeight="1" x14ac:dyDescent="0.25">
      <c r="A126" s="49">
        <v>3946</v>
      </c>
      <c r="B126" s="32" t="s">
        <v>19</v>
      </c>
      <c r="C126" s="32" t="s">
        <v>20</v>
      </c>
      <c r="D126" s="32" t="s">
        <v>21</v>
      </c>
      <c r="E126" s="32" t="s">
        <v>22</v>
      </c>
      <c r="F126" s="46" t="s">
        <v>152</v>
      </c>
      <c r="G126" s="32" t="s">
        <v>247</v>
      </c>
      <c r="H126" s="32" t="s">
        <v>1401</v>
      </c>
      <c r="I126" s="34">
        <v>4</v>
      </c>
      <c r="J126" s="32" t="s">
        <v>27</v>
      </c>
      <c r="K126" s="32" t="s">
        <v>28</v>
      </c>
      <c r="L126" s="32" t="s">
        <v>29</v>
      </c>
      <c r="M126" s="32" t="s">
        <v>155</v>
      </c>
      <c r="N126" s="32" t="s">
        <v>439</v>
      </c>
    </row>
    <row r="127" spans="1:14" s="4" customFormat="1" ht="15.75" customHeight="1" x14ac:dyDescent="0.25">
      <c r="A127" s="49">
        <v>5317</v>
      </c>
      <c r="B127" s="32" t="s">
        <v>19</v>
      </c>
      <c r="C127" s="32" t="s">
        <v>20</v>
      </c>
      <c r="D127" s="32" t="s">
        <v>21</v>
      </c>
      <c r="E127" s="32" t="s">
        <v>22</v>
      </c>
      <c r="F127" s="46" t="s">
        <v>167</v>
      </c>
      <c r="G127" s="32" t="s">
        <v>390</v>
      </c>
      <c r="H127" s="32" t="s">
        <v>1427</v>
      </c>
      <c r="I127" s="34">
        <v>4</v>
      </c>
      <c r="J127" s="32" t="s">
        <v>27</v>
      </c>
      <c r="K127" s="32" t="s">
        <v>28</v>
      </c>
      <c r="L127" s="32" t="s">
        <v>29</v>
      </c>
      <c r="M127" s="32" t="s">
        <v>170</v>
      </c>
      <c r="N127" s="32" t="s">
        <v>440</v>
      </c>
    </row>
    <row r="128" spans="1:14" s="4" customFormat="1" ht="15.75" customHeight="1" x14ac:dyDescent="0.25">
      <c r="A128" s="49">
        <v>4064.5</v>
      </c>
      <c r="B128" s="32" t="s">
        <v>19</v>
      </c>
      <c r="C128" s="32" t="s">
        <v>20</v>
      </c>
      <c r="D128" s="32" t="s">
        <v>86</v>
      </c>
      <c r="E128" s="32" t="s">
        <v>22</v>
      </c>
      <c r="F128" s="46" t="s">
        <v>223</v>
      </c>
      <c r="G128" s="32" t="s">
        <v>224</v>
      </c>
      <c r="H128" s="32" t="s">
        <v>1397</v>
      </c>
      <c r="I128" s="34">
        <v>5</v>
      </c>
      <c r="J128" s="32" t="s">
        <v>89</v>
      </c>
      <c r="K128" s="32" t="s">
        <v>28</v>
      </c>
      <c r="L128" s="32" t="s">
        <v>29</v>
      </c>
      <c r="M128" s="32" t="s">
        <v>226</v>
      </c>
      <c r="N128" s="32" t="s">
        <v>441</v>
      </c>
    </row>
    <row r="129" spans="1:14" s="4" customFormat="1" ht="15.75" customHeight="1" x14ac:dyDescent="0.25">
      <c r="A129" s="49">
        <v>4043</v>
      </c>
      <c r="B129" s="32" t="s">
        <v>19</v>
      </c>
      <c r="C129" s="32" t="s">
        <v>20</v>
      </c>
      <c r="D129" s="32" t="s">
        <v>21</v>
      </c>
      <c r="E129" s="32" t="s">
        <v>22</v>
      </c>
      <c r="F129" s="46" t="s">
        <v>267</v>
      </c>
      <c r="G129" s="32" t="s">
        <v>309</v>
      </c>
      <c r="H129" s="32" t="s">
        <v>1412</v>
      </c>
      <c r="I129" s="34">
        <v>5</v>
      </c>
      <c r="J129" s="32" t="s">
        <v>27</v>
      </c>
      <c r="K129" s="32" t="s">
        <v>28</v>
      </c>
      <c r="L129" s="32" t="s">
        <v>29</v>
      </c>
      <c r="M129" s="32" t="s">
        <v>270</v>
      </c>
      <c r="N129" s="32" t="s">
        <v>442</v>
      </c>
    </row>
    <row r="130" spans="1:14" s="4" customFormat="1" ht="15.75" customHeight="1" x14ac:dyDescent="0.25">
      <c r="A130" s="49">
        <v>5152.5</v>
      </c>
      <c r="B130" s="32" t="s">
        <v>19</v>
      </c>
      <c r="C130" s="32" t="s">
        <v>20</v>
      </c>
      <c r="D130" s="32" t="s">
        <v>21</v>
      </c>
      <c r="E130" s="32" t="s">
        <v>22</v>
      </c>
      <c r="F130" s="46" t="s">
        <v>267</v>
      </c>
      <c r="G130" s="32" t="s">
        <v>268</v>
      </c>
      <c r="H130" s="32" t="s">
        <v>1405</v>
      </c>
      <c r="I130" s="34">
        <v>5</v>
      </c>
      <c r="J130" s="32" t="s">
        <v>27</v>
      </c>
      <c r="K130" s="32" t="s">
        <v>28</v>
      </c>
      <c r="L130" s="32" t="s">
        <v>29</v>
      </c>
      <c r="M130" s="32" t="s">
        <v>270</v>
      </c>
      <c r="N130" s="32" t="s">
        <v>443</v>
      </c>
    </row>
    <row r="131" spans="1:14" s="4" customFormat="1" ht="15.75" customHeight="1" x14ac:dyDescent="0.25">
      <c r="A131" s="49">
        <v>4274</v>
      </c>
      <c r="B131" s="32" t="s">
        <v>19</v>
      </c>
      <c r="C131" s="32" t="s">
        <v>20</v>
      </c>
      <c r="D131" s="32" t="s">
        <v>21</v>
      </c>
      <c r="E131" s="32" t="s">
        <v>22</v>
      </c>
      <c r="F131" s="46" t="s">
        <v>39</v>
      </c>
      <c r="G131" s="32" t="s">
        <v>287</v>
      </c>
      <c r="H131" s="32" t="s">
        <v>1408</v>
      </c>
      <c r="I131" s="34">
        <v>5</v>
      </c>
      <c r="J131" s="32" t="s">
        <v>27</v>
      </c>
      <c r="K131" s="32" t="s">
        <v>28</v>
      </c>
      <c r="L131" s="32" t="s">
        <v>29</v>
      </c>
      <c r="M131" s="32" t="s">
        <v>42</v>
      </c>
      <c r="N131" s="32" t="s">
        <v>444</v>
      </c>
    </row>
    <row r="132" spans="1:14" s="4" customFormat="1" ht="15.75" customHeight="1" x14ac:dyDescent="0.25">
      <c r="A132" s="49">
        <v>2708</v>
      </c>
      <c r="B132" s="32" t="s">
        <v>19</v>
      </c>
      <c r="C132" s="32" t="s">
        <v>20</v>
      </c>
      <c r="D132" s="32" t="s">
        <v>21</v>
      </c>
      <c r="E132" s="32" t="s">
        <v>22</v>
      </c>
      <c r="F132" s="46" t="s">
        <v>104</v>
      </c>
      <c r="G132" s="32" t="s">
        <v>105</v>
      </c>
      <c r="H132" s="32" t="s">
        <v>1377</v>
      </c>
      <c r="I132" s="34">
        <v>5</v>
      </c>
      <c r="J132" s="32" t="s">
        <v>27</v>
      </c>
      <c r="K132" s="32" t="s">
        <v>28</v>
      </c>
      <c r="L132" s="32" t="s">
        <v>29</v>
      </c>
      <c r="M132" s="32" t="s">
        <v>107</v>
      </c>
      <c r="N132" s="32" t="s">
        <v>445</v>
      </c>
    </row>
    <row r="133" spans="1:14" s="4" customFormat="1" ht="15.75" customHeight="1" x14ac:dyDescent="0.25">
      <c r="A133" s="49">
        <v>4536</v>
      </c>
      <c r="B133" s="32" t="s">
        <v>19</v>
      </c>
      <c r="C133" s="32" t="s">
        <v>20</v>
      </c>
      <c r="D133" s="32" t="s">
        <v>21</v>
      </c>
      <c r="E133" s="32" t="s">
        <v>22</v>
      </c>
      <c r="F133" s="46" t="s">
        <v>110</v>
      </c>
      <c r="G133" s="35" t="s">
        <v>111</v>
      </c>
      <c r="H133" s="32" t="s">
        <v>1378</v>
      </c>
      <c r="I133" s="34">
        <v>5</v>
      </c>
      <c r="J133" s="32" t="s">
        <v>27</v>
      </c>
      <c r="K133" s="32" t="s">
        <v>28</v>
      </c>
      <c r="L133" s="32" t="s">
        <v>29</v>
      </c>
      <c r="M133" s="32" t="s">
        <v>113</v>
      </c>
      <c r="N133" s="35" t="s">
        <v>446</v>
      </c>
    </row>
    <row r="134" spans="1:14" s="4" customFormat="1" ht="15.75" customHeight="1" x14ac:dyDescent="0.25">
      <c r="A134" s="49">
        <v>5816.5</v>
      </c>
      <c r="B134" s="32" t="s">
        <v>19</v>
      </c>
      <c r="C134" s="32" t="s">
        <v>20</v>
      </c>
      <c r="D134" s="32" t="s">
        <v>21</v>
      </c>
      <c r="E134" s="32" t="s">
        <v>22</v>
      </c>
      <c r="F134" s="46" t="s">
        <v>167</v>
      </c>
      <c r="G134" s="32" t="s">
        <v>420</v>
      </c>
      <c r="H134" s="32" t="s">
        <v>1432</v>
      </c>
      <c r="I134" s="34">
        <v>5</v>
      </c>
      <c r="J134" s="32" t="s">
        <v>27</v>
      </c>
      <c r="K134" s="32" t="s">
        <v>28</v>
      </c>
      <c r="L134" s="32" t="s">
        <v>29</v>
      </c>
      <c r="M134" s="32" t="s">
        <v>170</v>
      </c>
      <c r="N134" s="32" t="s">
        <v>447</v>
      </c>
    </row>
    <row r="135" spans="1:14" s="4" customFormat="1" ht="15.75" customHeight="1" x14ac:dyDescent="0.25">
      <c r="A135" s="49">
        <v>3467</v>
      </c>
      <c r="B135" s="32" t="s">
        <v>19</v>
      </c>
      <c r="C135" s="32" t="s">
        <v>20</v>
      </c>
      <c r="D135" s="32" t="s">
        <v>86</v>
      </c>
      <c r="E135" s="32" t="s">
        <v>22</v>
      </c>
      <c r="F135" s="46" t="s">
        <v>223</v>
      </c>
      <c r="G135" s="32" t="s">
        <v>423</v>
      </c>
      <c r="H135" s="32" t="s">
        <v>1436</v>
      </c>
      <c r="I135" s="34">
        <v>6</v>
      </c>
      <c r="J135" s="32" t="s">
        <v>89</v>
      </c>
      <c r="K135" s="32" t="s">
        <v>28</v>
      </c>
      <c r="L135" s="32" t="s">
        <v>29</v>
      </c>
      <c r="M135" s="32" t="s">
        <v>226</v>
      </c>
      <c r="N135" s="32" t="s">
        <v>449</v>
      </c>
    </row>
    <row r="136" spans="1:14" s="4" customFormat="1" ht="15.75" customHeight="1" x14ac:dyDescent="0.25">
      <c r="A136" s="49">
        <v>3607.5</v>
      </c>
      <c r="B136" s="32" t="s">
        <v>19</v>
      </c>
      <c r="C136" s="32" t="s">
        <v>20</v>
      </c>
      <c r="D136" s="32" t="s">
        <v>86</v>
      </c>
      <c r="E136" s="32" t="s">
        <v>22</v>
      </c>
      <c r="F136" s="46" t="s">
        <v>92</v>
      </c>
      <c r="G136" s="32" t="s">
        <v>93</v>
      </c>
      <c r="H136" s="32" t="s">
        <v>1375</v>
      </c>
      <c r="I136" s="34">
        <v>6</v>
      </c>
      <c r="J136" s="32" t="s">
        <v>89</v>
      </c>
      <c r="K136" s="32" t="s">
        <v>28</v>
      </c>
      <c r="L136" s="32" t="s">
        <v>29</v>
      </c>
      <c r="M136" s="32" t="s">
        <v>95</v>
      </c>
      <c r="N136" s="32" t="s">
        <v>450</v>
      </c>
    </row>
    <row r="137" spans="1:14" s="4" customFormat="1" ht="15.75" customHeight="1" x14ac:dyDescent="0.25">
      <c r="A137" s="49">
        <v>4766</v>
      </c>
      <c r="B137" s="32" t="s">
        <v>19</v>
      </c>
      <c r="C137" s="32" t="s">
        <v>20</v>
      </c>
      <c r="D137" s="32" t="s">
        <v>86</v>
      </c>
      <c r="E137" s="32" t="s">
        <v>22</v>
      </c>
      <c r="F137" s="46" t="s">
        <v>98</v>
      </c>
      <c r="G137" s="32" t="s">
        <v>99</v>
      </c>
      <c r="H137" s="32" t="s">
        <v>1376</v>
      </c>
      <c r="I137" s="34">
        <v>6</v>
      </c>
      <c r="J137" s="32" t="s">
        <v>89</v>
      </c>
      <c r="K137" s="32" t="s">
        <v>28</v>
      </c>
      <c r="L137" s="32" t="s">
        <v>29</v>
      </c>
      <c r="M137" s="32" t="s">
        <v>101</v>
      </c>
      <c r="N137" s="32" t="s">
        <v>451</v>
      </c>
    </row>
    <row r="138" spans="1:14" s="4" customFormat="1" ht="15.75" customHeight="1" x14ac:dyDescent="0.25">
      <c r="A138" s="49">
        <v>4534</v>
      </c>
      <c r="B138" s="32" t="s">
        <v>19</v>
      </c>
      <c r="C138" s="32" t="s">
        <v>20</v>
      </c>
      <c r="D138" s="32" t="s">
        <v>21</v>
      </c>
      <c r="E138" s="32" t="s">
        <v>22</v>
      </c>
      <c r="F138" s="46" t="s">
        <v>61</v>
      </c>
      <c r="G138" s="32" t="s">
        <v>452</v>
      </c>
      <c r="H138" s="32" t="s">
        <v>1437</v>
      </c>
      <c r="I138" s="34">
        <v>6</v>
      </c>
      <c r="J138" s="32" t="s">
        <v>27</v>
      </c>
      <c r="K138" s="32" t="s">
        <v>28</v>
      </c>
      <c r="L138" s="32" t="s">
        <v>29</v>
      </c>
      <c r="M138" s="32" t="s">
        <v>65</v>
      </c>
      <c r="N138" s="32" t="s">
        <v>454</v>
      </c>
    </row>
    <row r="139" spans="1:14" s="4" customFormat="1" ht="15.75" customHeight="1" x14ac:dyDescent="0.25">
      <c r="A139" s="49">
        <v>4444.5</v>
      </c>
      <c r="B139" s="32" t="s">
        <v>19</v>
      </c>
      <c r="C139" s="32" t="s">
        <v>20</v>
      </c>
      <c r="D139" s="32" t="s">
        <v>21</v>
      </c>
      <c r="E139" s="32" t="s">
        <v>22</v>
      </c>
      <c r="F139" s="46" t="s">
        <v>314</v>
      </c>
      <c r="G139" s="32" t="s">
        <v>455</v>
      </c>
      <c r="H139" s="32" t="s">
        <v>1438</v>
      </c>
      <c r="I139" s="34">
        <v>6</v>
      </c>
      <c r="J139" s="32" t="s">
        <v>27</v>
      </c>
      <c r="K139" s="32" t="s">
        <v>28</v>
      </c>
      <c r="L139" s="32" t="s">
        <v>29</v>
      </c>
      <c r="M139" s="32" t="s">
        <v>317</v>
      </c>
      <c r="N139" s="32" t="s">
        <v>457</v>
      </c>
    </row>
    <row r="140" spans="1:14" s="4" customFormat="1" ht="15.75" customHeight="1" x14ac:dyDescent="0.25">
      <c r="A140" s="49">
        <v>3503.5</v>
      </c>
      <c r="B140" s="32" t="s">
        <v>19</v>
      </c>
      <c r="C140" s="32" t="s">
        <v>20</v>
      </c>
      <c r="D140" s="32" t="s">
        <v>21</v>
      </c>
      <c r="E140" s="32" t="s">
        <v>22</v>
      </c>
      <c r="F140" s="46" t="s">
        <v>49</v>
      </c>
      <c r="G140" s="32" t="s">
        <v>50</v>
      </c>
      <c r="H140" s="32" t="s">
        <v>1368</v>
      </c>
      <c r="I140" s="34">
        <v>6</v>
      </c>
      <c r="J140" s="32" t="s">
        <v>27</v>
      </c>
      <c r="K140" s="32" t="s">
        <v>28</v>
      </c>
      <c r="L140" s="32" t="s">
        <v>29</v>
      </c>
      <c r="M140" s="32" t="s">
        <v>52</v>
      </c>
      <c r="N140" s="32" t="s">
        <v>459</v>
      </c>
    </row>
    <row r="141" spans="1:14" s="4" customFormat="1" ht="15.75" customHeight="1" x14ac:dyDescent="0.25">
      <c r="A141" s="49">
        <v>5816.5</v>
      </c>
      <c r="B141" s="32" t="s">
        <v>19</v>
      </c>
      <c r="C141" s="32" t="s">
        <v>20</v>
      </c>
      <c r="D141" s="32" t="s">
        <v>21</v>
      </c>
      <c r="E141" s="32" t="s">
        <v>22</v>
      </c>
      <c r="F141" s="46" t="s">
        <v>167</v>
      </c>
      <c r="G141" s="32" t="s">
        <v>420</v>
      </c>
      <c r="H141" s="32" t="s">
        <v>1432</v>
      </c>
      <c r="I141" s="34">
        <v>6</v>
      </c>
      <c r="J141" s="32" t="s">
        <v>27</v>
      </c>
      <c r="K141" s="32" t="s">
        <v>28</v>
      </c>
      <c r="L141" s="32" t="s">
        <v>29</v>
      </c>
      <c r="M141" s="32" t="s">
        <v>170</v>
      </c>
      <c r="N141" s="32" t="s">
        <v>460</v>
      </c>
    </row>
    <row r="142" spans="1:14" s="4" customFormat="1" ht="15.75" customHeight="1" x14ac:dyDescent="0.25">
      <c r="A142" s="49">
        <v>3467</v>
      </c>
      <c r="B142" s="32" t="s">
        <v>19</v>
      </c>
      <c r="C142" s="32" t="s">
        <v>20</v>
      </c>
      <c r="D142" s="32" t="s">
        <v>86</v>
      </c>
      <c r="E142" s="32" t="s">
        <v>22</v>
      </c>
      <c r="F142" s="46" t="s">
        <v>223</v>
      </c>
      <c r="G142" s="32" t="s">
        <v>412</v>
      </c>
      <c r="H142" s="32" t="s">
        <v>1430</v>
      </c>
      <c r="I142" s="34">
        <v>7</v>
      </c>
      <c r="J142" s="32" t="s">
        <v>89</v>
      </c>
      <c r="K142" s="32" t="s">
        <v>28</v>
      </c>
      <c r="L142" s="32" t="s">
        <v>29</v>
      </c>
      <c r="M142" s="32" t="s">
        <v>226</v>
      </c>
      <c r="N142" s="32" t="s">
        <v>461</v>
      </c>
    </row>
    <row r="143" spans="1:14" s="4" customFormat="1" ht="15.75" customHeight="1" x14ac:dyDescent="0.25">
      <c r="A143" s="49">
        <v>6111.5</v>
      </c>
      <c r="B143" s="32" t="s">
        <v>19</v>
      </c>
      <c r="C143" s="32" t="s">
        <v>20</v>
      </c>
      <c r="D143" s="32" t="s">
        <v>86</v>
      </c>
      <c r="E143" s="32" t="s">
        <v>22</v>
      </c>
      <c r="F143" s="46" t="s">
        <v>180</v>
      </c>
      <c r="G143" s="32" t="s">
        <v>181</v>
      </c>
      <c r="H143" s="32" t="s">
        <v>1389</v>
      </c>
      <c r="I143" s="34">
        <v>7</v>
      </c>
      <c r="J143" s="32" t="s">
        <v>89</v>
      </c>
      <c r="K143" s="32" t="s">
        <v>28</v>
      </c>
      <c r="L143" s="32" t="s">
        <v>29</v>
      </c>
      <c r="M143" s="32" t="s">
        <v>183</v>
      </c>
      <c r="N143" s="32" t="s">
        <v>462</v>
      </c>
    </row>
    <row r="144" spans="1:14" s="4" customFormat="1" ht="15.75" customHeight="1" x14ac:dyDescent="0.25">
      <c r="A144" s="49">
        <v>515.9</v>
      </c>
      <c r="B144" s="32" t="s">
        <v>19</v>
      </c>
      <c r="C144" s="32" t="s">
        <v>20</v>
      </c>
      <c r="D144" s="32" t="s">
        <v>86</v>
      </c>
      <c r="E144" s="32" t="s">
        <v>22</v>
      </c>
      <c r="F144" s="46" t="s">
        <v>186</v>
      </c>
      <c r="G144" s="32" t="s">
        <v>416</v>
      </c>
      <c r="H144" s="32" t="s">
        <v>1431</v>
      </c>
      <c r="I144" s="34">
        <v>7</v>
      </c>
      <c r="J144" s="32" t="s">
        <v>89</v>
      </c>
      <c r="K144" s="32" t="s">
        <v>28</v>
      </c>
      <c r="L144" s="32" t="s">
        <v>29</v>
      </c>
      <c r="M144" s="32" t="s">
        <v>190</v>
      </c>
      <c r="N144" s="32" t="s">
        <v>464</v>
      </c>
    </row>
    <row r="145" spans="1:15" ht="15.75" customHeight="1" x14ac:dyDescent="0.25">
      <c r="A145" s="49">
        <v>654.5</v>
      </c>
      <c r="B145" s="32" t="s">
        <v>19</v>
      </c>
      <c r="C145" s="32" t="s">
        <v>20</v>
      </c>
      <c r="D145" s="32" t="s">
        <v>86</v>
      </c>
      <c r="E145" s="32" t="s">
        <v>22</v>
      </c>
      <c r="F145" s="46" t="s">
        <v>186</v>
      </c>
      <c r="G145" s="32" t="s">
        <v>187</v>
      </c>
      <c r="H145" s="32" t="s">
        <v>1390</v>
      </c>
      <c r="I145" s="34">
        <v>7</v>
      </c>
      <c r="J145" s="32" t="s">
        <v>89</v>
      </c>
      <c r="K145" s="32" t="s">
        <v>28</v>
      </c>
      <c r="L145" s="32" t="s">
        <v>29</v>
      </c>
      <c r="M145" s="32" t="s">
        <v>190</v>
      </c>
      <c r="N145" s="32" t="s">
        <v>466</v>
      </c>
    </row>
    <row r="146" spans="1:15" ht="15.75" customHeight="1" x14ac:dyDescent="0.25">
      <c r="A146" s="50">
        <v>4594</v>
      </c>
      <c r="B146" s="36" t="s">
        <v>19</v>
      </c>
      <c r="C146" s="36" t="s">
        <v>20</v>
      </c>
      <c r="D146" s="36" t="s">
        <v>86</v>
      </c>
      <c r="E146" s="36" t="s">
        <v>22</v>
      </c>
      <c r="F146" s="47" t="s">
        <v>223</v>
      </c>
      <c r="G146" s="36" t="s">
        <v>229</v>
      </c>
      <c r="H146" s="36" t="s">
        <v>1439</v>
      </c>
      <c r="I146" s="34">
        <v>7</v>
      </c>
      <c r="J146" s="36" t="s">
        <v>89</v>
      </c>
      <c r="K146" s="36" t="s">
        <v>28</v>
      </c>
      <c r="L146" s="36" t="s">
        <v>29</v>
      </c>
      <c r="M146" s="36" t="s">
        <v>226</v>
      </c>
      <c r="N146" s="36" t="s">
        <v>469</v>
      </c>
      <c r="O146"/>
    </row>
    <row r="147" spans="1:15" ht="15.75" customHeight="1" x14ac:dyDescent="0.25">
      <c r="A147" s="49">
        <v>4976.5</v>
      </c>
      <c r="B147" s="32" t="s">
        <v>19</v>
      </c>
      <c r="C147" s="32" t="s">
        <v>20</v>
      </c>
      <c r="D147" s="32" t="s">
        <v>21</v>
      </c>
      <c r="E147" s="32" t="s">
        <v>22</v>
      </c>
      <c r="F147" s="46" t="s">
        <v>471</v>
      </c>
      <c r="G147" s="32" t="s">
        <v>472</v>
      </c>
      <c r="H147" s="32" t="s">
        <v>1440</v>
      </c>
      <c r="I147" s="34">
        <v>7</v>
      </c>
      <c r="J147" s="32" t="s">
        <v>27</v>
      </c>
      <c r="K147" s="32" t="s">
        <v>28</v>
      </c>
      <c r="L147" s="32" t="s">
        <v>29</v>
      </c>
      <c r="M147" s="32" t="s">
        <v>474</v>
      </c>
      <c r="N147" s="32" t="s">
        <v>475</v>
      </c>
    </row>
    <row r="148" spans="1:15" ht="15.75" customHeight="1" x14ac:dyDescent="0.25">
      <c r="A148" s="49">
        <v>4280.5</v>
      </c>
      <c r="B148" s="32" t="s">
        <v>19</v>
      </c>
      <c r="C148" s="32" t="s">
        <v>20</v>
      </c>
      <c r="D148" s="32" t="s">
        <v>21</v>
      </c>
      <c r="E148" s="32" t="s">
        <v>22</v>
      </c>
      <c r="F148" s="46" t="s">
        <v>201</v>
      </c>
      <c r="G148" s="32" t="s">
        <v>476</v>
      </c>
      <c r="H148" s="32" t="s">
        <v>1441</v>
      </c>
      <c r="I148" s="34">
        <v>7</v>
      </c>
      <c r="J148" s="32" t="s">
        <v>27</v>
      </c>
      <c r="K148" s="32" t="s">
        <v>28</v>
      </c>
      <c r="L148" s="32" t="s">
        <v>29</v>
      </c>
      <c r="M148" s="32" t="s">
        <v>204</v>
      </c>
      <c r="N148" s="32" t="s">
        <v>478</v>
      </c>
    </row>
    <row r="149" spans="1:15" ht="15.75" customHeight="1" x14ac:dyDescent="0.25">
      <c r="A149" s="49">
        <v>3240.5</v>
      </c>
      <c r="B149" s="32" t="s">
        <v>19</v>
      </c>
      <c r="C149" s="32" t="s">
        <v>20</v>
      </c>
      <c r="D149" s="32" t="s">
        <v>21</v>
      </c>
      <c r="E149" s="32" t="s">
        <v>22</v>
      </c>
      <c r="F149" s="46" t="s">
        <v>75</v>
      </c>
      <c r="G149" s="32" t="s">
        <v>81</v>
      </c>
      <c r="H149" s="32" t="s">
        <v>1373</v>
      </c>
      <c r="I149" s="34">
        <v>7</v>
      </c>
      <c r="J149" s="32" t="s">
        <v>27</v>
      </c>
      <c r="K149" s="32" t="s">
        <v>28</v>
      </c>
      <c r="L149" s="32" t="s">
        <v>29</v>
      </c>
      <c r="M149" s="32" t="s">
        <v>78</v>
      </c>
      <c r="N149" s="32" t="s">
        <v>479</v>
      </c>
    </row>
    <row r="150" spans="1:15" ht="15.75" customHeight="1" x14ac:dyDescent="0.25">
      <c r="A150" s="49">
        <v>4280.5</v>
      </c>
      <c r="B150" s="32" t="s">
        <v>19</v>
      </c>
      <c r="C150" s="32" t="s">
        <v>20</v>
      </c>
      <c r="D150" s="32" t="s">
        <v>21</v>
      </c>
      <c r="E150" s="32" t="s">
        <v>22</v>
      </c>
      <c r="F150" s="46" t="s">
        <v>75</v>
      </c>
      <c r="G150" s="32" t="s">
        <v>376</v>
      </c>
      <c r="H150" s="32" t="s">
        <v>1423</v>
      </c>
      <c r="I150" s="34">
        <v>7</v>
      </c>
      <c r="J150" s="32" t="s">
        <v>27</v>
      </c>
      <c r="K150" s="32" t="s">
        <v>28</v>
      </c>
      <c r="L150" s="32" t="s">
        <v>29</v>
      </c>
      <c r="M150" s="32" t="s">
        <v>78</v>
      </c>
      <c r="N150" s="32" t="s">
        <v>480</v>
      </c>
    </row>
    <row r="151" spans="1:15" ht="15.75" customHeight="1" x14ac:dyDescent="0.25">
      <c r="A151" s="49">
        <v>3711.5</v>
      </c>
      <c r="B151" s="32" t="s">
        <v>19</v>
      </c>
      <c r="C151" s="32" t="s">
        <v>20</v>
      </c>
      <c r="D151" s="32" t="s">
        <v>21</v>
      </c>
      <c r="E151" s="32" t="s">
        <v>22</v>
      </c>
      <c r="F151" s="46" t="s">
        <v>39</v>
      </c>
      <c r="G151" s="32" t="s">
        <v>45</v>
      </c>
      <c r="H151" s="32" t="s">
        <v>1367</v>
      </c>
      <c r="I151" s="34">
        <v>7</v>
      </c>
      <c r="J151" s="32" t="s">
        <v>27</v>
      </c>
      <c r="K151" s="32" t="s">
        <v>28</v>
      </c>
      <c r="L151" s="32" t="s">
        <v>29</v>
      </c>
      <c r="M151" s="32" t="s">
        <v>42</v>
      </c>
      <c r="N151" s="32" t="s">
        <v>481</v>
      </c>
    </row>
    <row r="152" spans="1:15" ht="15.75" customHeight="1" x14ac:dyDescent="0.25">
      <c r="A152" s="49">
        <v>5212</v>
      </c>
      <c r="B152" s="32" t="s">
        <v>19</v>
      </c>
      <c r="C152" s="32" t="s">
        <v>20</v>
      </c>
      <c r="D152" s="32" t="s">
        <v>21</v>
      </c>
      <c r="E152" s="32" t="s">
        <v>22</v>
      </c>
      <c r="F152" s="46" t="s">
        <v>382</v>
      </c>
      <c r="G152" s="32" t="s">
        <v>383</v>
      </c>
      <c r="H152" s="32" t="s">
        <v>1425</v>
      </c>
      <c r="I152" s="34">
        <v>7</v>
      </c>
      <c r="J152" s="32" t="s">
        <v>27</v>
      </c>
      <c r="K152" s="32" t="s">
        <v>28</v>
      </c>
      <c r="L152" s="32" t="s">
        <v>29</v>
      </c>
      <c r="M152" s="32" t="s">
        <v>385</v>
      </c>
      <c r="N152" s="32" t="s">
        <v>482</v>
      </c>
    </row>
    <row r="153" spans="1:15" ht="15.75" customHeight="1" x14ac:dyDescent="0.25">
      <c r="A153" s="49">
        <v>3340.5</v>
      </c>
      <c r="B153" s="32" t="s">
        <v>19</v>
      </c>
      <c r="C153" s="32" t="s">
        <v>20</v>
      </c>
      <c r="D153" s="32" t="s">
        <v>21</v>
      </c>
      <c r="E153" s="32" t="s">
        <v>22</v>
      </c>
      <c r="F153" s="46" t="s">
        <v>49</v>
      </c>
      <c r="G153" s="32" t="s">
        <v>387</v>
      </c>
      <c r="H153" s="32" t="s">
        <v>1426</v>
      </c>
      <c r="I153" s="34">
        <v>7</v>
      </c>
      <c r="J153" s="32" t="s">
        <v>27</v>
      </c>
      <c r="K153" s="32" t="s">
        <v>28</v>
      </c>
      <c r="L153" s="32" t="s">
        <v>29</v>
      </c>
      <c r="M153" s="32" t="s">
        <v>52</v>
      </c>
      <c r="N153" s="32" t="s">
        <v>483</v>
      </c>
    </row>
    <row r="154" spans="1:15" ht="15.75" customHeight="1" x14ac:dyDescent="0.25">
      <c r="A154" s="49">
        <v>5478</v>
      </c>
      <c r="B154" s="32" t="s">
        <v>19</v>
      </c>
      <c r="C154" s="32" t="s">
        <v>20</v>
      </c>
      <c r="D154" s="32" t="s">
        <v>21</v>
      </c>
      <c r="E154" s="32" t="s">
        <v>22</v>
      </c>
      <c r="F154" s="46" t="s">
        <v>167</v>
      </c>
      <c r="G154" s="32" t="s">
        <v>484</v>
      </c>
      <c r="H154" s="32" t="s">
        <v>1442</v>
      </c>
      <c r="I154" s="34">
        <v>7</v>
      </c>
      <c r="J154" s="32" t="s">
        <v>27</v>
      </c>
      <c r="K154" s="32" t="s">
        <v>28</v>
      </c>
      <c r="L154" s="32" t="s">
        <v>29</v>
      </c>
      <c r="M154" s="32" t="s">
        <v>170</v>
      </c>
      <c r="N154" s="32" t="s">
        <v>486</v>
      </c>
    </row>
    <row r="155" spans="1:15" ht="15.75" customHeight="1" x14ac:dyDescent="0.25">
      <c r="A155" s="49">
        <v>3166.5</v>
      </c>
      <c r="B155" s="32" t="s">
        <v>19</v>
      </c>
      <c r="C155" s="32" t="s">
        <v>20</v>
      </c>
      <c r="D155" s="32" t="s">
        <v>86</v>
      </c>
      <c r="E155" s="32" t="s">
        <v>22</v>
      </c>
      <c r="F155" s="46" t="s">
        <v>174</v>
      </c>
      <c r="G155" s="32" t="s">
        <v>175</v>
      </c>
      <c r="H155" s="32" t="s">
        <v>1388</v>
      </c>
      <c r="I155" s="34">
        <v>8</v>
      </c>
      <c r="J155" s="32" t="s">
        <v>89</v>
      </c>
      <c r="K155" s="32" t="s">
        <v>28</v>
      </c>
      <c r="L155" s="32" t="s">
        <v>29</v>
      </c>
      <c r="M155" s="32" t="s">
        <v>177</v>
      </c>
      <c r="N155" s="32" t="s">
        <v>487</v>
      </c>
    </row>
    <row r="156" spans="1:15" ht="15.75" customHeight="1" x14ac:dyDescent="0.25">
      <c r="A156" s="49">
        <v>4232.5</v>
      </c>
      <c r="B156" s="32" t="s">
        <v>19</v>
      </c>
      <c r="C156" s="32" t="s">
        <v>20</v>
      </c>
      <c r="D156" s="32" t="s">
        <v>86</v>
      </c>
      <c r="E156" s="32" t="s">
        <v>22</v>
      </c>
      <c r="F156" s="46" t="s">
        <v>298</v>
      </c>
      <c r="G156" s="32" t="s">
        <v>489</v>
      </c>
      <c r="H156" s="32" t="s">
        <v>1443</v>
      </c>
      <c r="I156" s="34">
        <v>8</v>
      </c>
      <c r="J156" s="32" t="s">
        <v>89</v>
      </c>
      <c r="K156" s="32" t="s">
        <v>28</v>
      </c>
      <c r="L156" s="32" t="s">
        <v>29</v>
      </c>
      <c r="M156" s="32" t="s">
        <v>301</v>
      </c>
      <c r="N156" s="32" t="s">
        <v>491</v>
      </c>
    </row>
    <row r="157" spans="1:15" ht="15.75" customHeight="1" x14ac:dyDescent="0.25">
      <c r="A157" s="49">
        <v>6111.5</v>
      </c>
      <c r="B157" s="32" t="s">
        <v>19</v>
      </c>
      <c r="C157" s="32" t="s">
        <v>20</v>
      </c>
      <c r="D157" s="32" t="s">
        <v>86</v>
      </c>
      <c r="E157" s="32" t="s">
        <v>22</v>
      </c>
      <c r="F157" s="46" t="s">
        <v>180</v>
      </c>
      <c r="G157" s="32" t="s">
        <v>181</v>
      </c>
      <c r="H157" s="32" t="s">
        <v>1389</v>
      </c>
      <c r="I157" s="34">
        <v>8</v>
      </c>
      <c r="J157" s="32" t="s">
        <v>89</v>
      </c>
      <c r="K157" s="32" t="s">
        <v>28</v>
      </c>
      <c r="L157" s="32" t="s">
        <v>29</v>
      </c>
      <c r="M157" s="32" t="s">
        <v>183</v>
      </c>
      <c r="N157" s="32" t="s">
        <v>492</v>
      </c>
    </row>
    <row r="158" spans="1:15" ht="15.75" customHeight="1" x14ac:dyDescent="0.25">
      <c r="A158" s="49">
        <v>3160.5</v>
      </c>
      <c r="B158" s="32" t="s">
        <v>19</v>
      </c>
      <c r="C158" s="32" t="s">
        <v>20</v>
      </c>
      <c r="D158" s="32" t="s">
        <v>21</v>
      </c>
      <c r="E158" s="32" t="s">
        <v>22</v>
      </c>
      <c r="F158" s="46" t="s">
        <v>39</v>
      </c>
      <c r="G158" s="32" t="s">
        <v>493</v>
      </c>
      <c r="H158" s="32" t="s">
        <v>1444</v>
      </c>
      <c r="I158" s="34">
        <v>8</v>
      </c>
      <c r="J158" s="32" t="s">
        <v>27</v>
      </c>
      <c r="K158" s="32" t="s">
        <v>28</v>
      </c>
      <c r="L158" s="32" t="s">
        <v>29</v>
      </c>
      <c r="M158" s="32" t="s">
        <v>42</v>
      </c>
      <c r="N158" s="32" t="s">
        <v>495</v>
      </c>
    </row>
    <row r="159" spans="1:15" ht="15.75" customHeight="1" x14ac:dyDescent="0.25">
      <c r="A159" s="49">
        <v>4487.5</v>
      </c>
      <c r="B159" s="32" t="s">
        <v>19</v>
      </c>
      <c r="C159" s="32" t="s">
        <v>20</v>
      </c>
      <c r="D159" s="32" t="s">
        <v>21</v>
      </c>
      <c r="E159" s="32" t="s">
        <v>22</v>
      </c>
      <c r="F159" s="46" t="s">
        <v>104</v>
      </c>
      <c r="G159" s="32" t="s">
        <v>497</v>
      </c>
      <c r="H159" s="32" t="s">
        <v>1445</v>
      </c>
      <c r="I159" s="34">
        <v>8</v>
      </c>
      <c r="J159" s="32" t="s">
        <v>27</v>
      </c>
      <c r="K159" s="32" t="s">
        <v>28</v>
      </c>
      <c r="L159" s="32" t="s">
        <v>29</v>
      </c>
      <c r="M159" s="32" t="s">
        <v>107</v>
      </c>
      <c r="N159" s="32" t="s">
        <v>499</v>
      </c>
    </row>
    <row r="160" spans="1:15" ht="15.75" customHeight="1" x14ac:dyDescent="0.25">
      <c r="A160" s="49">
        <v>4229.5</v>
      </c>
      <c r="B160" s="32" t="s">
        <v>19</v>
      </c>
      <c r="C160" s="32" t="s">
        <v>20</v>
      </c>
      <c r="D160" s="32" t="s">
        <v>86</v>
      </c>
      <c r="E160" s="32" t="s">
        <v>22</v>
      </c>
      <c r="F160" s="46" t="s">
        <v>223</v>
      </c>
      <c r="G160" s="32" t="s">
        <v>258</v>
      </c>
      <c r="H160" s="32" t="s">
        <v>1403</v>
      </c>
      <c r="I160" s="34">
        <v>9</v>
      </c>
      <c r="J160" s="32" t="s">
        <v>89</v>
      </c>
      <c r="K160" s="32" t="s">
        <v>28</v>
      </c>
      <c r="L160" s="32" t="s">
        <v>29</v>
      </c>
      <c r="M160" s="32" t="s">
        <v>226</v>
      </c>
      <c r="N160" s="32" t="s">
        <v>500</v>
      </c>
    </row>
    <row r="161" spans="1:15" ht="15.75" customHeight="1" x14ac:dyDescent="0.25">
      <c r="A161" s="49">
        <v>4579.5</v>
      </c>
      <c r="B161" s="32" t="s">
        <v>19</v>
      </c>
      <c r="C161" s="32" t="s">
        <v>20</v>
      </c>
      <c r="D161" s="32" t="s">
        <v>86</v>
      </c>
      <c r="E161" s="32" t="s">
        <v>22</v>
      </c>
      <c r="F161" s="46" t="s">
        <v>501</v>
      </c>
      <c r="G161" s="32" t="s">
        <v>502</v>
      </c>
      <c r="H161" s="32" t="s">
        <v>1446</v>
      </c>
      <c r="I161" s="34">
        <v>9</v>
      </c>
      <c r="J161" s="32" t="s">
        <v>89</v>
      </c>
      <c r="K161" s="32" t="s">
        <v>28</v>
      </c>
      <c r="L161" s="32" t="s">
        <v>29</v>
      </c>
      <c r="M161" s="32" t="s">
        <v>504</v>
      </c>
      <c r="N161" s="32" t="s">
        <v>505</v>
      </c>
    </row>
    <row r="162" spans="1:15" ht="15.75" customHeight="1" x14ac:dyDescent="0.25">
      <c r="A162" s="49">
        <v>4534</v>
      </c>
      <c r="B162" s="32" t="s">
        <v>19</v>
      </c>
      <c r="C162" s="32" t="s">
        <v>20</v>
      </c>
      <c r="D162" s="32" t="s">
        <v>21</v>
      </c>
      <c r="E162" s="32" t="s">
        <v>22</v>
      </c>
      <c r="F162" s="46" t="s">
        <v>61</v>
      </c>
      <c r="G162" s="32" t="s">
        <v>62</v>
      </c>
      <c r="H162" s="32" t="s">
        <v>1370</v>
      </c>
      <c r="I162" s="34">
        <v>9</v>
      </c>
      <c r="J162" s="32" t="s">
        <v>27</v>
      </c>
      <c r="K162" s="32" t="s">
        <v>28</v>
      </c>
      <c r="L162" s="32" t="s">
        <v>29</v>
      </c>
      <c r="M162" s="32" t="s">
        <v>65</v>
      </c>
      <c r="N162" s="32" t="s">
        <v>506</v>
      </c>
    </row>
    <row r="163" spans="1:15" ht="15.75" customHeight="1" x14ac:dyDescent="0.25">
      <c r="A163" s="49">
        <v>2872.5</v>
      </c>
      <c r="B163" s="32" t="s">
        <v>19</v>
      </c>
      <c r="C163" s="32" t="s">
        <v>20</v>
      </c>
      <c r="D163" s="32" t="s">
        <v>21</v>
      </c>
      <c r="E163" s="32" t="s">
        <v>22</v>
      </c>
      <c r="F163" s="46" t="s">
        <v>104</v>
      </c>
      <c r="G163" s="32" t="s">
        <v>105</v>
      </c>
      <c r="H163" s="32" t="s">
        <v>1377</v>
      </c>
      <c r="I163" s="34">
        <v>9</v>
      </c>
      <c r="J163" s="32" t="s">
        <v>27</v>
      </c>
      <c r="K163" s="32" t="s">
        <v>28</v>
      </c>
      <c r="L163" s="32" t="s">
        <v>29</v>
      </c>
      <c r="M163" s="32" t="s">
        <v>107</v>
      </c>
      <c r="N163" s="32" t="s">
        <v>508</v>
      </c>
    </row>
    <row r="164" spans="1:15" ht="15.75" customHeight="1" x14ac:dyDescent="0.25">
      <c r="A164" s="49">
        <v>3768.5</v>
      </c>
      <c r="B164" s="32" t="s">
        <v>19</v>
      </c>
      <c r="C164" s="32" t="s">
        <v>20</v>
      </c>
      <c r="D164" s="32" t="s">
        <v>21</v>
      </c>
      <c r="E164" s="32" t="s">
        <v>22</v>
      </c>
      <c r="F164" s="46" t="s">
        <v>152</v>
      </c>
      <c r="G164" s="32" t="s">
        <v>510</v>
      </c>
      <c r="H164" s="32" t="s">
        <v>1447</v>
      </c>
      <c r="I164" s="34">
        <v>9</v>
      </c>
      <c r="J164" s="32" t="s">
        <v>27</v>
      </c>
      <c r="K164" s="32" t="s">
        <v>28</v>
      </c>
      <c r="L164" s="32" t="s">
        <v>29</v>
      </c>
      <c r="M164" s="32" t="s">
        <v>155</v>
      </c>
      <c r="N164" s="32" t="s">
        <v>512</v>
      </c>
    </row>
    <row r="165" spans="1:15" ht="15.75" customHeight="1" x14ac:dyDescent="0.25">
      <c r="A165" s="49">
        <v>4534</v>
      </c>
      <c r="B165" s="32" t="s">
        <v>19</v>
      </c>
      <c r="C165" s="32" t="s">
        <v>20</v>
      </c>
      <c r="D165" s="32" t="s">
        <v>21</v>
      </c>
      <c r="E165" s="32" t="s">
        <v>22</v>
      </c>
      <c r="F165" s="46" t="s">
        <v>61</v>
      </c>
      <c r="G165" s="32" t="s">
        <v>513</v>
      </c>
      <c r="H165" s="32" t="s">
        <v>1448</v>
      </c>
      <c r="I165" s="34">
        <v>10</v>
      </c>
      <c r="J165" s="32" t="s">
        <v>27</v>
      </c>
      <c r="K165" s="32" t="s">
        <v>28</v>
      </c>
      <c r="L165" s="32" t="s">
        <v>29</v>
      </c>
      <c r="M165" s="32" t="s">
        <v>65</v>
      </c>
      <c r="N165" s="32" t="s">
        <v>515</v>
      </c>
    </row>
    <row r="166" spans="1:15" ht="15.75" customHeight="1" x14ac:dyDescent="0.25">
      <c r="A166" s="49">
        <v>3250</v>
      </c>
      <c r="B166" s="32" t="s">
        <v>19</v>
      </c>
      <c r="C166" s="32" t="s">
        <v>20</v>
      </c>
      <c r="D166" s="32" t="s">
        <v>21</v>
      </c>
      <c r="E166" s="32" t="s">
        <v>22</v>
      </c>
      <c r="F166" s="46" t="s">
        <v>516</v>
      </c>
      <c r="G166" s="32" t="s">
        <v>517</v>
      </c>
      <c r="H166" s="32" t="s">
        <v>1449</v>
      </c>
      <c r="I166" s="34">
        <v>10</v>
      </c>
      <c r="J166" s="32" t="s">
        <v>27</v>
      </c>
      <c r="K166" s="32" t="s">
        <v>28</v>
      </c>
      <c r="L166" s="32" t="s">
        <v>29</v>
      </c>
      <c r="M166" s="32" t="s">
        <v>519</v>
      </c>
      <c r="N166" s="32" t="s">
        <v>520</v>
      </c>
    </row>
    <row r="167" spans="1:15" ht="15.75" customHeight="1" x14ac:dyDescent="0.25">
      <c r="A167" s="50">
        <v>2941.72</v>
      </c>
      <c r="B167" s="36" t="s">
        <v>19</v>
      </c>
      <c r="C167" s="36" t="s">
        <v>123</v>
      </c>
      <c r="D167" s="36" t="s">
        <v>124</v>
      </c>
      <c r="E167" s="36" t="s">
        <v>125</v>
      </c>
      <c r="F167" s="47" t="s">
        <v>135</v>
      </c>
      <c r="G167" s="36" t="s">
        <v>354</v>
      </c>
      <c r="H167" s="36" t="s">
        <v>1420</v>
      </c>
      <c r="I167" s="34">
        <v>10</v>
      </c>
      <c r="J167" s="36" t="s">
        <v>130</v>
      </c>
      <c r="K167" s="36" t="s">
        <v>28</v>
      </c>
      <c r="L167" s="36" t="s">
        <v>131</v>
      </c>
      <c r="M167" s="36" t="s">
        <v>138</v>
      </c>
      <c r="N167" s="36" t="s">
        <v>522</v>
      </c>
      <c r="O167"/>
    </row>
    <row r="168" spans="1:15" ht="15.75" customHeight="1" x14ac:dyDescent="0.25">
      <c r="A168" s="49">
        <v>4444.5</v>
      </c>
      <c r="B168" s="32" t="s">
        <v>19</v>
      </c>
      <c r="C168" s="32" t="s">
        <v>20</v>
      </c>
      <c r="D168" s="32" t="s">
        <v>21</v>
      </c>
      <c r="E168" s="32" t="s">
        <v>22</v>
      </c>
      <c r="F168" s="46" t="s">
        <v>314</v>
      </c>
      <c r="G168" s="32" t="s">
        <v>315</v>
      </c>
      <c r="H168" s="32" t="s">
        <v>1413</v>
      </c>
      <c r="I168" s="34">
        <v>10</v>
      </c>
      <c r="J168" s="32" t="s">
        <v>27</v>
      </c>
      <c r="K168" s="32" t="s">
        <v>28</v>
      </c>
      <c r="L168" s="32" t="s">
        <v>29</v>
      </c>
      <c r="M168" s="32" t="s">
        <v>317</v>
      </c>
      <c r="N168" s="32" t="s">
        <v>523</v>
      </c>
    </row>
    <row r="169" spans="1:15" ht="15.75" customHeight="1" x14ac:dyDescent="0.25">
      <c r="A169" s="49">
        <v>3768.5</v>
      </c>
      <c r="B169" s="32" t="s">
        <v>19</v>
      </c>
      <c r="C169" s="32" t="s">
        <v>20</v>
      </c>
      <c r="D169" s="32" t="s">
        <v>21</v>
      </c>
      <c r="E169" s="32" t="s">
        <v>22</v>
      </c>
      <c r="F169" s="46" t="s">
        <v>152</v>
      </c>
      <c r="G169" s="32" t="s">
        <v>524</v>
      </c>
      <c r="H169" s="32" t="s">
        <v>1450</v>
      </c>
      <c r="I169" s="34">
        <v>10</v>
      </c>
      <c r="J169" s="32" t="s">
        <v>27</v>
      </c>
      <c r="K169" s="32" t="s">
        <v>28</v>
      </c>
      <c r="L169" s="32" t="s">
        <v>29</v>
      </c>
      <c r="M169" s="32" t="s">
        <v>155</v>
      </c>
      <c r="N169" s="32" t="s">
        <v>526</v>
      </c>
    </row>
    <row r="170" spans="1:15" ht="15.75" customHeight="1" x14ac:dyDescent="0.25">
      <c r="A170" s="49">
        <v>3398</v>
      </c>
      <c r="B170" s="32" t="s">
        <v>19</v>
      </c>
      <c r="C170" s="32" t="s">
        <v>20</v>
      </c>
      <c r="D170" s="32" t="s">
        <v>21</v>
      </c>
      <c r="E170" s="32" t="s">
        <v>22</v>
      </c>
      <c r="F170" s="46" t="s">
        <v>217</v>
      </c>
      <c r="G170" s="32" t="s">
        <v>218</v>
      </c>
      <c r="H170" s="32" t="s">
        <v>1396</v>
      </c>
      <c r="I170" s="34">
        <v>10</v>
      </c>
      <c r="J170" s="32" t="s">
        <v>27</v>
      </c>
      <c r="K170" s="32" t="s">
        <v>28</v>
      </c>
      <c r="L170" s="32" t="s">
        <v>29</v>
      </c>
      <c r="M170" s="32" t="s">
        <v>220</v>
      </c>
      <c r="N170" s="32" t="s">
        <v>527</v>
      </c>
    </row>
    <row r="171" spans="1:15" ht="15.75" customHeight="1" x14ac:dyDescent="0.25">
      <c r="A171" s="49">
        <v>296.45</v>
      </c>
      <c r="B171" s="32" t="s">
        <v>19</v>
      </c>
      <c r="C171" s="32" t="s">
        <v>20</v>
      </c>
      <c r="D171" s="32" t="s">
        <v>86</v>
      </c>
      <c r="E171" s="32" t="s">
        <v>22</v>
      </c>
      <c r="F171" s="46" t="s">
        <v>186</v>
      </c>
      <c r="G171" s="32" t="s">
        <v>529</v>
      </c>
      <c r="H171" s="32" t="s">
        <v>1451</v>
      </c>
      <c r="I171" s="34">
        <v>11</v>
      </c>
      <c r="J171" s="32" t="s">
        <v>89</v>
      </c>
      <c r="K171" s="32" t="s">
        <v>28</v>
      </c>
      <c r="L171" s="32" t="s">
        <v>29</v>
      </c>
      <c r="M171" s="32" t="s">
        <v>190</v>
      </c>
      <c r="N171" s="32" t="s">
        <v>531</v>
      </c>
    </row>
    <row r="172" spans="1:15" ht="15.75" customHeight="1" x14ac:dyDescent="0.25">
      <c r="A172" s="49">
        <v>596.75</v>
      </c>
      <c r="B172" s="32" t="s">
        <v>19</v>
      </c>
      <c r="C172" s="32" t="s">
        <v>20</v>
      </c>
      <c r="D172" s="32" t="s">
        <v>86</v>
      </c>
      <c r="E172" s="32" t="s">
        <v>22</v>
      </c>
      <c r="F172" s="46" t="s">
        <v>533</v>
      </c>
      <c r="G172" s="32" t="s">
        <v>534</v>
      </c>
      <c r="H172" s="32" t="s">
        <v>1452</v>
      </c>
      <c r="I172" s="34">
        <v>11</v>
      </c>
      <c r="J172" s="32" t="s">
        <v>89</v>
      </c>
      <c r="K172" s="32" t="s">
        <v>28</v>
      </c>
      <c r="L172" s="32" t="s">
        <v>29</v>
      </c>
      <c r="M172" s="32" t="s">
        <v>536</v>
      </c>
      <c r="N172" s="32" t="s">
        <v>537</v>
      </c>
    </row>
    <row r="173" spans="1:15" ht="15.75" customHeight="1" x14ac:dyDescent="0.25">
      <c r="A173" s="49">
        <v>3467</v>
      </c>
      <c r="B173" s="32" t="s">
        <v>19</v>
      </c>
      <c r="C173" s="32" t="s">
        <v>20</v>
      </c>
      <c r="D173" s="32" t="s">
        <v>21</v>
      </c>
      <c r="E173" s="32" t="s">
        <v>22</v>
      </c>
      <c r="F173" s="46" t="s">
        <v>223</v>
      </c>
      <c r="G173" s="32" t="s">
        <v>538</v>
      </c>
      <c r="H173" s="32" t="s">
        <v>1453</v>
      </c>
      <c r="I173" s="34">
        <v>11</v>
      </c>
      <c r="J173" s="32" t="s">
        <v>27</v>
      </c>
      <c r="K173" s="32" t="s">
        <v>28</v>
      </c>
      <c r="L173" s="32" t="s">
        <v>29</v>
      </c>
      <c r="M173" s="32" t="s">
        <v>226</v>
      </c>
      <c r="N173" s="32" t="s">
        <v>540</v>
      </c>
    </row>
    <row r="174" spans="1:15" ht="15.75" customHeight="1" x14ac:dyDescent="0.25">
      <c r="A174" s="49">
        <v>4778.5</v>
      </c>
      <c r="B174" s="32" t="s">
        <v>19</v>
      </c>
      <c r="C174" s="32" t="s">
        <v>20</v>
      </c>
      <c r="D174" s="32" t="s">
        <v>21</v>
      </c>
      <c r="E174" s="32" t="s">
        <v>22</v>
      </c>
      <c r="F174" s="46" t="s">
        <v>61</v>
      </c>
      <c r="G174" s="32" t="s">
        <v>141</v>
      </c>
      <c r="H174" s="32" t="s">
        <v>1382</v>
      </c>
      <c r="I174" s="34">
        <v>11</v>
      </c>
      <c r="J174" s="32" t="s">
        <v>27</v>
      </c>
      <c r="K174" s="32" t="s">
        <v>28</v>
      </c>
      <c r="L174" s="32" t="s">
        <v>29</v>
      </c>
      <c r="M174" s="32" t="s">
        <v>65</v>
      </c>
      <c r="N174" s="32" t="s">
        <v>542</v>
      </c>
    </row>
    <row r="175" spans="1:15" ht="15.75" customHeight="1" x14ac:dyDescent="0.25">
      <c r="A175" s="49">
        <v>5152.5</v>
      </c>
      <c r="B175" s="32" t="s">
        <v>19</v>
      </c>
      <c r="C175" s="32" t="s">
        <v>20</v>
      </c>
      <c r="D175" s="32" t="s">
        <v>21</v>
      </c>
      <c r="E175" s="32" t="s">
        <v>22</v>
      </c>
      <c r="F175" s="46" t="s">
        <v>267</v>
      </c>
      <c r="G175" s="32" t="s">
        <v>268</v>
      </c>
      <c r="H175" s="32" t="s">
        <v>1405</v>
      </c>
      <c r="I175" s="34">
        <v>11</v>
      </c>
      <c r="J175" s="32" t="s">
        <v>27</v>
      </c>
      <c r="K175" s="32" t="s">
        <v>28</v>
      </c>
      <c r="L175" s="32" t="s">
        <v>29</v>
      </c>
      <c r="M175" s="32" t="s">
        <v>270</v>
      </c>
      <c r="N175" s="32" t="s">
        <v>543</v>
      </c>
    </row>
    <row r="176" spans="1:15" ht="15.75" customHeight="1" x14ac:dyDescent="0.25">
      <c r="A176" s="49">
        <v>3250</v>
      </c>
      <c r="B176" s="32" t="s">
        <v>19</v>
      </c>
      <c r="C176" s="32" t="s">
        <v>20</v>
      </c>
      <c r="D176" s="32" t="s">
        <v>21</v>
      </c>
      <c r="E176" s="32" t="s">
        <v>22</v>
      </c>
      <c r="F176" s="46" t="s">
        <v>39</v>
      </c>
      <c r="G176" s="32" t="s">
        <v>544</v>
      </c>
      <c r="H176" s="32" t="s">
        <v>1454</v>
      </c>
      <c r="I176" s="34">
        <v>11</v>
      </c>
      <c r="J176" s="32" t="s">
        <v>27</v>
      </c>
      <c r="K176" s="32" t="s">
        <v>28</v>
      </c>
      <c r="L176" s="32" t="s">
        <v>29</v>
      </c>
      <c r="M176" s="32" t="s">
        <v>42</v>
      </c>
      <c r="N176" s="32" t="s">
        <v>546</v>
      </c>
    </row>
    <row r="177" spans="1:15" ht="15.75" customHeight="1" x14ac:dyDescent="0.25">
      <c r="A177" s="49">
        <v>3398</v>
      </c>
      <c r="B177" s="32" t="s">
        <v>19</v>
      </c>
      <c r="C177" s="32" t="s">
        <v>20</v>
      </c>
      <c r="D177" s="32" t="s">
        <v>86</v>
      </c>
      <c r="E177" s="32" t="s">
        <v>22</v>
      </c>
      <c r="F177" s="46" t="s">
        <v>298</v>
      </c>
      <c r="G177" s="35" t="s">
        <v>547</v>
      </c>
      <c r="H177" s="32" t="s">
        <v>1455</v>
      </c>
      <c r="I177" s="34">
        <v>1</v>
      </c>
      <c r="J177" s="32" t="s">
        <v>89</v>
      </c>
      <c r="K177" s="32" t="s">
        <v>28</v>
      </c>
      <c r="L177" s="32" t="s">
        <v>29</v>
      </c>
      <c r="M177" s="32" t="s">
        <v>301</v>
      </c>
      <c r="N177" s="35" t="s">
        <v>549</v>
      </c>
    </row>
    <row r="178" spans="1:15" ht="15.75" customHeight="1" x14ac:dyDescent="0.25">
      <c r="A178" s="49">
        <v>6111.5</v>
      </c>
      <c r="B178" s="32" t="s">
        <v>19</v>
      </c>
      <c r="C178" s="32" t="s">
        <v>20</v>
      </c>
      <c r="D178" s="32" t="s">
        <v>86</v>
      </c>
      <c r="E178" s="32" t="s">
        <v>22</v>
      </c>
      <c r="F178" s="46" t="s">
        <v>180</v>
      </c>
      <c r="G178" s="32" t="s">
        <v>181</v>
      </c>
      <c r="H178" s="32" t="s">
        <v>1389</v>
      </c>
      <c r="I178" s="34">
        <v>1</v>
      </c>
      <c r="J178" s="32" t="s">
        <v>89</v>
      </c>
      <c r="K178" s="32" t="s">
        <v>28</v>
      </c>
      <c r="L178" s="32" t="s">
        <v>29</v>
      </c>
      <c r="M178" s="32" t="s">
        <v>183</v>
      </c>
      <c r="N178" s="32" t="s">
        <v>550</v>
      </c>
    </row>
    <row r="179" spans="1:15" ht="15.75" customHeight="1" x14ac:dyDescent="0.25">
      <c r="A179" s="49">
        <v>719.95</v>
      </c>
      <c r="B179" s="32" t="s">
        <v>19</v>
      </c>
      <c r="C179" s="32" t="s">
        <v>20</v>
      </c>
      <c r="D179" s="32" t="s">
        <v>86</v>
      </c>
      <c r="E179" s="32" t="s">
        <v>22</v>
      </c>
      <c r="F179" s="46" t="s">
        <v>186</v>
      </c>
      <c r="G179" s="32" t="s">
        <v>187</v>
      </c>
      <c r="H179" s="32" t="s">
        <v>1390</v>
      </c>
      <c r="I179" s="34">
        <v>1</v>
      </c>
      <c r="J179" s="32" t="s">
        <v>89</v>
      </c>
      <c r="K179" s="32" t="s">
        <v>28</v>
      </c>
      <c r="L179" s="32" t="s">
        <v>29</v>
      </c>
      <c r="M179" s="32" t="s">
        <v>190</v>
      </c>
      <c r="N179" s="32" t="s">
        <v>552</v>
      </c>
    </row>
    <row r="180" spans="1:15" ht="15.75" customHeight="1" x14ac:dyDescent="0.25">
      <c r="A180" s="49">
        <v>-133.80000000000001</v>
      </c>
      <c r="B180" s="32" t="s">
        <v>19</v>
      </c>
      <c r="C180" s="32" t="s">
        <v>20</v>
      </c>
      <c r="D180" s="32" t="s">
        <v>21</v>
      </c>
      <c r="E180" s="32" t="s">
        <v>22</v>
      </c>
      <c r="F180" s="46" t="s">
        <v>152</v>
      </c>
      <c r="G180" s="32" t="s">
        <v>358</v>
      </c>
      <c r="H180" s="32" t="s">
        <v>1421</v>
      </c>
      <c r="I180" s="34">
        <v>1</v>
      </c>
      <c r="J180" s="32" t="s">
        <v>27</v>
      </c>
      <c r="K180" s="32" t="s">
        <v>28</v>
      </c>
      <c r="L180" s="32" t="s">
        <v>29</v>
      </c>
      <c r="M180" s="32" t="s">
        <v>155</v>
      </c>
      <c r="N180" s="32" t="s">
        <v>554</v>
      </c>
    </row>
    <row r="181" spans="1:15" ht="15.75" customHeight="1" x14ac:dyDescent="0.25">
      <c r="A181" s="49">
        <v>142.5</v>
      </c>
      <c r="B181" s="32" t="s">
        <v>19</v>
      </c>
      <c r="C181" s="32" t="s">
        <v>20</v>
      </c>
      <c r="D181" s="32" t="s">
        <v>21</v>
      </c>
      <c r="E181" s="32" t="s">
        <v>22</v>
      </c>
      <c r="F181" s="46" t="s">
        <v>23</v>
      </c>
      <c r="G181" s="32" t="s">
        <v>197</v>
      </c>
      <c r="H181" s="32" t="s">
        <v>1392</v>
      </c>
      <c r="I181" s="34">
        <v>1</v>
      </c>
      <c r="J181" s="32" t="s">
        <v>27</v>
      </c>
      <c r="K181" s="32" t="s">
        <v>28</v>
      </c>
      <c r="L181" s="32" t="s">
        <v>29</v>
      </c>
      <c r="M181" s="32" t="s">
        <v>30</v>
      </c>
      <c r="N181" s="32" t="s">
        <v>557</v>
      </c>
    </row>
    <row r="182" spans="1:15" ht="15.75" customHeight="1" x14ac:dyDescent="0.25">
      <c r="A182" s="49">
        <v>4280.5</v>
      </c>
      <c r="B182" s="32" t="s">
        <v>19</v>
      </c>
      <c r="C182" s="32" t="s">
        <v>20</v>
      </c>
      <c r="D182" s="32" t="s">
        <v>21</v>
      </c>
      <c r="E182" s="32" t="s">
        <v>22</v>
      </c>
      <c r="F182" s="46" t="s">
        <v>75</v>
      </c>
      <c r="G182" s="32" t="s">
        <v>340</v>
      </c>
      <c r="H182" s="32" t="s">
        <v>1417</v>
      </c>
      <c r="I182" s="34">
        <v>1</v>
      </c>
      <c r="J182" s="32" t="s">
        <v>27</v>
      </c>
      <c r="K182" s="32" t="s">
        <v>28</v>
      </c>
      <c r="L182" s="32" t="s">
        <v>29</v>
      </c>
      <c r="M182" s="32" t="s">
        <v>78</v>
      </c>
      <c r="N182" s="32" t="s">
        <v>558</v>
      </c>
    </row>
    <row r="183" spans="1:15" ht="15.75" customHeight="1" x14ac:dyDescent="0.25">
      <c r="A183" s="49">
        <v>4444.5</v>
      </c>
      <c r="B183" s="32" t="s">
        <v>19</v>
      </c>
      <c r="C183" s="32" t="s">
        <v>20</v>
      </c>
      <c r="D183" s="32" t="s">
        <v>21</v>
      </c>
      <c r="E183" s="32" t="s">
        <v>22</v>
      </c>
      <c r="F183" s="46" t="s">
        <v>314</v>
      </c>
      <c r="G183" s="32" t="s">
        <v>455</v>
      </c>
      <c r="H183" s="32" t="s">
        <v>1438</v>
      </c>
      <c r="I183" s="34">
        <v>1</v>
      </c>
      <c r="J183" s="32" t="s">
        <v>27</v>
      </c>
      <c r="K183" s="32" t="s">
        <v>28</v>
      </c>
      <c r="L183" s="32" t="s">
        <v>29</v>
      </c>
      <c r="M183" s="32" t="s">
        <v>317</v>
      </c>
      <c r="N183" s="32" t="s">
        <v>559</v>
      </c>
    </row>
    <row r="184" spans="1:15" ht="15.75" customHeight="1" x14ac:dyDescent="0.25">
      <c r="A184" s="49">
        <v>3768.5</v>
      </c>
      <c r="B184" s="32" t="s">
        <v>19</v>
      </c>
      <c r="C184" s="32" t="s">
        <v>20</v>
      </c>
      <c r="D184" s="32" t="s">
        <v>21</v>
      </c>
      <c r="E184" s="32" t="s">
        <v>22</v>
      </c>
      <c r="F184" s="46" t="s">
        <v>152</v>
      </c>
      <c r="G184" s="32" t="s">
        <v>524</v>
      </c>
      <c r="H184" s="32" t="s">
        <v>1450</v>
      </c>
      <c r="I184" s="34">
        <v>1</v>
      </c>
      <c r="J184" s="32" t="s">
        <v>27</v>
      </c>
      <c r="K184" s="32" t="s">
        <v>28</v>
      </c>
      <c r="L184" s="32" t="s">
        <v>29</v>
      </c>
      <c r="M184" s="32" t="s">
        <v>155</v>
      </c>
      <c r="N184" s="32" t="s">
        <v>560</v>
      </c>
    </row>
    <row r="185" spans="1:15" ht="15.75" customHeight="1" x14ac:dyDescent="0.25">
      <c r="A185" s="49">
        <v>3560.5</v>
      </c>
      <c r="B185" s="32" t="s">
        <v>19</v>
      </c>
      <c r="C185" s="32" t="s">
        <v>20</v>
      </c>
      <c r="D185" s="32" t="s">
        <v>21</v>
      </c>
      <c r="E185" s="32" t="s">
        <v>22</v>
      </c>
      <c r="F185" s="46" t="s">
        <v>382</v>
      </c>
      <c r="G185" s="32" t="s">
        <v>562</v>
      </c>
      <c r="H185" s="32" t="s">
        <v>1456</v>
      </c>
      <c r="I185" s="34">
        <v>1</v>
      </c>
      <c r="J185" s="32" t="s">
        <v>27</v>
      </c>
      <c r="K185" s="32" t="s">
        <v>28</v>
      </c>
      <c r="L185" s="32" t="s">
        <v>29</v>
      </c>
      <c r="M185" s="32" t="s">
        <v>385</v>
      </c>
      <c r="N185" s="32" t="s">
        <v>564</v>
      </c>
    </row>
    <row r="186" spans="1:15" ht="15.75" customHeight="1" x14ac:dyDescent="0.25">
      <c r="A186" s="49">
        <v>4229.5</v>
      </c>
      <c r="B186" s="32" t="s">
        <v>19</v>
      </c>
      <c r="C186" s="32" t="s">
        <v>20</v>
      </c>
      <c r="D186" s="32" t="s">
        <v>86</v>
      </c>
      <c r="E186" s="32" t="s">
        <v>22</v>
      </c>
      <c r="F186" s="46" t="s">
        <v>223</v>
      </c>
      <c r="G186" s="32" t="s">
        <v>229</v>
      </c>
      <c r="H186" s="32" t="s">
        <v>1398</v>
      </c>
      <c r="I186" s="34">
        <v>2</v>
      </c>
      <c r="J186" s="32" t="s">
        <v>89</v>
      </c>
      <c r="K186" s="32" t="s">
        <v>28</v>
      </c>
      <c r="L186" s="32" t="s">
        <v>29</v>
      </c>
      <c r="M186" s="32" t="s">
        <v>226</v>
      </c>
      <c r="N186" s="32" t="s">
        <v>565</v>
      </c>
    </row>
    <row r="187" spans="1:15" ht="15.75" customHeight="1" x14ac:dyDescent="0.25">
      <c r="A187" s="49">
        <v>4534</v>
      </c>
      <c r="B187" s="32" t="s">
        <v>19</v>
      </c>
      <c r="C187" s="32" t="s">
        <v>20</v>
      </c>
      <c r="D187" s="32" t="s">
        <v>21</v>
      </c>
      <c r="E187" s="32" t="s">
        <v>22</v>
      </c>
      <c r="F187" s="46" t="s">
        <v>61</v>
      </c>
      <c r="G187" s="32" t="s">
        <v>62</v>
      </c>
      <c r="H187" s="32" t="s">
        <v>1370</v>
      </c>
      <c r="I187" s="34">
        <v>2</v>
      </c>
      <c r="J187" s="32" t="s">
        <v>27</v>
      </c>
      <c r="K187" s="32" t="s">
        <v>28</v>
      </c>
      <c r="L187" s="32" t="s">
        <v>29</v>
      </c>
      <c r="M187" s="32" t="s">
        <v>65</v>
      </c>
      <c r="N187" s="32" t="s">
        <v>566</v>
      </c>
    </row>
    <row r="188" spans="1:15" ht="15.75" customHeight="1" x14ac:dyDescent="0.25">
      <c r="A188" s="50">
        <v>4594</v>
      </c>
      <c r="B188" s="36" t="s">
        <v>19</v>
      </c>
      <c r="C188" s="36" t="s">
        <v>20</v>
      </c>
      <c r="D188" s="36" t="s">
        <v>86</v>
      </c>
      <c r="E188" s="36" t="s">
        <v>22</v>
      </c>
      <c r="F188" s="47" t="s">
        <v>223</v>
      </c>
      <c r="G188" s="36" t="s">
        <v>229</v>
      </c>
      <c r="H188" s="36" t="s">
        <v>1439</v>
      </c>
      <c r="I188" s="34">
        <v>8</v>
      </c>
      <c r="J188" s="36" t="s">
        <v>89</v>
      </c>
      <c r="K188" s="36" t="s">
        <v>28</v>
      </c>
      <c r="L188" s="36" t="s">
        <v>29</v>
      </c>
      <c r="M188" s="36" t="s">
        <v>226</v>
      </c>
      <c r="N188" s="36" t="s">
        <v>567</v>
      </c>
      <c r="O188"/>
    </row>
    <row r="189" spans="1:15" ht="15.75" customHeight="1" x14ac:dyDescent="0.25">
      <c r="A189" s="49">
        <v>3902.5</v>
      </c>
      <c r="B189" s="32" t="s">
        <v>19</v>
      </c>
      <c r="C189" s="32" t="s">
        <v>20</v>
      </c>
      <c r="D189" s="32" t="s">
        <v>21</v>
      </c>
      <c r="E189" s="32" t="s">
        <v>22</v>
      </c>
      <c r="F189" s="46" t="s">
        <v>75</v>
      </c>
      <c r="G189" s="32" t="s">
        <v>568</v>
      </c>
      <c r="H189" s="32" t="s">
        <v>1457</v>
      </c>
      <c r="I189" s="34">
        <v>2</v>
      </c>
      <c r="J189" s="32" t="s">
        <v>27</v>
      </c>
      <c r="K189" s="32" t="s">
        <v>28</v>
      </c>
      <c r="L189" s="32" t="s">
        <v>29</v>
      </c>
      <c r="M189" s="32" t="s">
        <v>78</v>
      </c>
      <c r="N189" s="32" t="s">
        <v>570</v>
      </c>
    </row>
    <row r="190" spans="1:15" ht="15.75" customHeight="1" x14ac:dyDescent="0.25">
      <c r="A190" s="49">
        <v>4280.5</v>
      </c>
      <c r="B190" s="32" t="s">
        <v>19</v>
      </c>
      <c r="C190" s="32" t="s">
        <v>20</v>
      </c>
      <c r="D190" s="32" t="s">
        <v>21</v>
      </c>
      <c r="E190" s="32" t="s">
        <v>22</v>
      </c>
      <c r="F190" s="46" t="s">
        <v>75</v>
      </c>
      <c r="G190" s="32" t="s">
        <v>340</v>
      </c>
      <c r="H190" s="32" t="s">
        <v>1417</v>
      </c>
      <c r="I190" s="34">
        <v>2</v>
      </c>
      <c r="J190" s="32" t="s">
        <v>27</v>
      </c>
      <c r="K190" s="32" t="s">
        <v>28</v>
      </c>
      <c r="L190" s="32" t="s">
        <v>29</v>
      </c>
      <c r="M190" s="32" t="s">
        <v>78</v>
      </c>
      <c r="N190" s="32" t="s">
        <v>571</v>
      </c>
    </row>
    <row r="191" spans="1:15" ht="15.75" customHeight="1" x14ac:dyDescent="0.25">
      <c r="A191" s="49">
        <v>2657.5</v>
      </c>
      <c r="B191" s="32" t="s">
        <v>19</v>
      </c>
      <c r="C191" s="32" t="s">
        <v>20</v>
      </c>
      <c r="D191" s="32" t="s">
        <v>21</v>
      </c>
      <c r="E191" s="32" t="s">
        <v>22</v>
      </c>
      <c r="F191" s="46" t="s">
        <v>282</v>
      </c>
      <c r="G191" s="32" t="s">
        <v>283</v>
      </c>
      <c r="H191" s="32" t="s">
        <v>1407</v>
      </c>
      <c r="I191" s="34">
        <v>2</v>
      </c>
      <c r="J191" s="32" t="s">
        <v>27</v>
      </c>
      <c r="K191" s="32" t="s">
        <v>28</v>
      </c>
      <c r="L191" s="32" t="s">
        <v>29</v>
      </c>
      <c r="M191" s="32" t="s">
        <v>285</v>
      </c>
      <c r="N191" s="32" t="s">
        <v>573</v>
      </c>
    </row>
    <row r="192" spans="1:15" ht="15.75" customHeight="1" x14ac:dyDescent="0.25">
      <c r="A192" s="49">
        <v>3250</v>
      </c>
      <c r="B192" s="32" t="s">
        <v>19</v>
      </c>
      <c r="C192" s="32" t="s">
        <v>20</v>
      </c>
      <c r="D192" s="32" t="s">
        <v>21</v>
      </c>
      <c r="E192" s="32" t="s">
        <v>22</v>
      </c>
      <c r="F192" s="46" t="s">
        <v>39</v>
      </c>
      <c r="G192" s="32" t="s">
        <v>213</v>
      </c>
      <c r="H192" s="32" t="s">
        <v>1395</v>
      </c>
      <c r="I192" s="34">
        <v>2</v>
      </c>
      <c r="J192" s="32" t="s">
        <v>27</v>
      </c>
      <c r="K192" s="32" t="s">
        <v>28</v>
      </c>
      <c r="L192" s="32" t="s">
        <v>29</v>
      </c>
      <c r="M192" s="32" t="s">
        <v>42</v>
      </c>
      <c r="N192" s="32" t="s">
        <v>574</v>
      </c>
    </row>
    <row r="193" spans="1:14" s="4" customFormat="1" ht="15.75" customHeight="1" x14ac:dyDescent="0.25">
      <c r="A193" s="49">
        <v>4444.5</v>
      </c>
      <c r="B193" s="32" t="s">
        <v>19</v>
      </c>
      <c r="C193" s="32" t="s">
        <v>20</v>
      </c>
      <c r="D193" s="32" t="s">
        <v>21</v>
      </c>
      <c r="E193" s="32" t="s">
        <v>22</v>
      </c>
      <c r="F193" s="46" t="s">
        <v>314</v>
      </c>
      <c r="G193" s="32" t="s">
        <v>455</v>
      </c>
      <c r="H193" s="32" t="s">
        <v>1438</v>
      </c>
      <c r="I193" s="34">
        <v>2</v>
      </c>
      <c r="J193" s="32" t="s">
        <v>27</v>
      </c>
      <c r="K193" s="32" t="s">
        <v>28</v>
      </c>
      <c r="L193" s="32" t="s">
        <v>29</v>
      </c>
      <c r="M193" s="32" t="s">
        <v>317</v>
      </c>
      <c r="N193" s="32" t="s">
        <v>575</v>
      </c>
    </row>
    <row r="194" spans="1:14" s="4" customFormat="1" ht="15.75" customHeight="1" x14ac:dyDescent="0.25">
      <c r="A194" s="49">
        <v>5816.5</v>
      </c>
      <c r="B194" s="32" t="s">
        <v>19</v>
      </c>
      <c r="C194" s="32" t="s">
        <v>20</v>
      </c>
      <c r="D194" s="32" t="s">
        <v>21</v>
      </c>
      <c r="E194" s="32" t="s">
        <v>22</v>
      </c>
      <c r="F194" s="46" t="s">
        <v>167</v>
      </c>
      <c r="G194" s="32" t="s">
        <v>420</v>
      </c>
      <c r="H194" s="32" t="s">
        <v>1432</v>
      </c>
      <c r="I194" s="34">
        <v>2</v>
      </c>
      <c r="J194" s="32" t="s">
        <v>27</v>
      </c>
      <c r="K194" s="32" t="s">
        <v>28</v>
      </c>
      <c r="L194" s="32" t="s">
        <v>29</v>
      </c>
      <c r="M194" s="32" t="s">
        <v>170</v>
      </c>
      <c r="N194" s="32" t="s">
        <v>576</v>
      </c>
    </row>
    <row r="195" spans="1:14" s="4" customFormat="1" ht="15.75" customHeight="1" x14ac:dyDescent="0.25">
      <c r="A195" s="49">
        <v>635.25</v>
      </c>
      <c r="B195" s="32" t="s">
        <v>19</v>
      </c>
      <c r="C195" s="32" t="s">
        <v>20</v>
      </c>
      <c r="D195" s="32" t="s">
        <v>86</v>
      </c>
      <c r="E195" s="32" t="s">
        <v>22</v>
      </c>
      <c r="F195" s="46" t="s">
        <v>186</v>
      </c>
      <c r="G195" s="32" t="s">
        <v>529</v>
      </c>
      <c r="H195" s="32" t="s">
        <v>1451</v>
      </c>
      <c r="I195" s="34">
        <v>3</v>
      </c>
      <c r="J195" s="32" t="s">
        <v>89</v>
      </c>
      <c r="K195" s="32" t="s">
        <v>28</v>
      </c>
      <c r="L195" s="32" t="s">
        <v>29</v>
      </c>
      <c r="M195" s="32" t="s">
        <v>190</v>
      </c>
      <c r="N195" s="32" t="s">
        <v>578</v>
      </c>
    </row>
    <row r="196" spans="1:14" s="4" customFormat="1" ht="15.75" customHeight="1" x14ac:dyDescent="0.25">
      <c r="A196" s="49">
        <v>650.65</v>
      </c>
      <c r="B196" s="32" t="s">
        <v>19</v>
      </c>
      <c r="C196" s="32" t="s">
        <v>20</v>
      </c>
      <c r="D196" s="32" t="s">
        <v>86</v>
      </c>
      <c r="E196" s="32" t="s">
        <v>22</v>
      </c>
      <c r="F196" s="46" t="s">
        <v>186</v>
      </c>
      <c r="G196" s="32" t="s">
        <v>187</v>
      </c>
      <c r="H196" s="32" t="s">
        <v>1390</v>
      </c>
      <c r="I196" s="34">
        <v>3</v>
      </c>
      <c r="J196" s="32" t="s">
        <v>89</v>
      </c>
      <c r="K196" s="32" t="s">
        <v>28</v>
      </c>
      <c r="L196" s="32" t="s">
        <v>29</v>
      </c>
      <c r="M196" s="32" t="s">
        <v>190</v>
      </c>
      <c r="N196" s="32" t="s">
        <v>580</v>
      </c>
    </row>
    <row r="197" spans="1:14" s="4" customFormat="1" ht="15.75" customHeight="1" x14ac:dyDescent="0.25">
      <c r="A197" s="49">
        <v>-650.16</v>
      </c>
      <c r="B197" s="32" t="s">
        <v>19</v>
      </c>
      <c r="C197" s="32" t="s">
        <v>20</v>
      </c>
      <c r="D197" s="32" t="s">
        <v>21</v>
      </c>
      <c r="E197" s="32" t="s">
        <v>22</v>
      </c>
      <c r="F197" s="46" t="s">
        <v>33</v>
      </c>
      <c r="G197" s="32" t="s">
        <v>34</v>
      </c>
      <c r="H197" s="32" t="s">
        <v>1365</v>
      </c>
      <c r="I197" s="34">
        <v>3</v>
      </c>
      <c r="J197" s="32" t="s">
        <v>27</v>
      </c>
      <c r="K197" s="32" t="s">
        <v>28</v>
      </c>
      <c r="L197" s="32" t="s">
        <v>29</v>
      </c>
      <c r="M197" s="32" t="s">
        <v>36</v>
      </c>
      <c r="N197" s="32" t="s">
        <v>582</v>
      </c>
    </row>
    <row r="198" spans="1:14" s="4" customFormat="1" ht="15.75" customHeight="1" x14ac:dyDescent="0.25">
      <c r="A198" s="49">
        <v>-381.47</v>
      </c>
      <c r="B198" s="32" t="s">
        <v>19</v>
      </c>
      <c r="C198" s="32" t="s">
        <v>20</v>
      </c>
      <c r="D198" s="32" t="s">
        <v>21</v>
      </c>
      <c r="E198" s="32" t="s">
        <v>22</v>
      </c>
      <c r="F198" s="46" t="s">
        <v>61</v>
      </c>
      <c r="G198" s="32" t="s">
        <v>330</v>
      </c>
      <c r="H198" s="32" t="s">
        <v>1415</v>
      </c>
      <c r="I198" s="34">
        <v>3</v>
      </c>
      <c r="J198" s="32" t="s">
        <v>27</v>
      </c>
      <c r="K198" s="32" t="s">
        <v>28</v>
      </c>
      <c r="L198" s="32" t="s">
        <v>29</v>
      </c>
      <c r="M198" s="32" t="s">
        <v>65</v>
      </c>
      <c r="N198" s="32" t="s">
        <v>584</v>
      </c>
    </row>
    <row r="199" spans="1:14" s="4" customFormat="1" ht="15.75" customHeight="1" x14ac:dyDescent="0.25">
      <c r="A199" s="49">
        <v>4534</v>
      </c>
      <c r="B199" s="32" t="s">
        <v>19</v>
      </c>
      <c r="C199" s="32" t="s">
        <v>20</v>
      </c>
      <c r="D199" s="32" t="s">
        <v>21</v>
      </c>
      <c r="E199" s="32" t="s">
        <v>22</v>
      </c>
      <c r="F199" s="46" t="s">
        <v>61</v>
      </c>
      <c r="G199" s="32" t="s">
        <v>372</v>
      </c>
      <c r="H199" s="32" t="s">
        <v>1422</v>
      </c>
      <c r="I199" s="34">
        <v>3</v>
      </c>
      <c r="J199" s="32" t="s">
        <v>27</v>
      </c>
      <c r="K199" s="32" t="s">
        <v>28</v>
      </c>
      <c r="L199" s="32" t="s">
        <v>29</v>
      </c>
      <c r="M199" s="32" t="s">
        <v>65</v>
      </c>
      <c r="N199" s="32" t="s">
        <v>585</v>
      </c>
    </row>
    <row r="200" spans="1:14" s="4" customFormat="1" ht="15.75" customHeight="1" x14ac:dyDescent="0.25">
      <c r="A200" s="49">
        <v>2542.5</v>
      </c>
      <c r="B200" s="32" t="s">
        <v>19</v>
      </c>
      <c r="C200" s="32" t="s">
        <v>20</v>
      </c>
      <c r="D200" s="32" t="s">
        <v>21</v>
      </c>
      <c r="E200" s="32" t="s">
        <v>22</v>
      </c>
      <c r="F200" s="46" t="s">
        <v>75</v>
      </c>
      <c r="G200" s="32" t="s">
        <v>76</v>
      </c>
      <c r="H200" s="32" t="s">
        <v>1372</v>
      </c>
      <c r="I200" s="34">
        <v>3</v>
      </c>
      <c r="J200" s="32" t="s">
        <v>27</v>
      </c>
      <c r="K200" s="32" t="s">
        <v>28</v>
      </c>
      <c r="L200" s="32" t="s">
        <v>29</v>
      </c>
      <c r="M200" s="32" t="s">
        <v>78</v>
      </c>
      <c r="N200" s="32" t="s">
        <v>586</v>
      </c>
    </row>
    <row r="201" spans="1:14" s="4" customFormat="1" ht="15.75" customHeight="1" x14ac:dyDescent="0.25">
      <c r="A201" s="49">
        <v>3240.5</v>
      </c>
      <c r="B201" s="32" t="s">
        <v>19</v>
      </c>
      <c r="C201" s="32" t="s">
        <v>20</v>
      </c>
      <c r="D201" s="32" t="s">
        <v>21</v>
      </c>
      <c r="E201" s="32" t="s">
        <v>22</v>
      </c>
      <c r="F201" s="46" t="s">
        <v>75</v>
      </c>
      <c r="G201" s="32" t="s">
        <v>81</v>
      </c>
      <c r="H201" s="32" t="s">
        <v>1373</v>
      </c>
      <c r="I201" s="34">
        <v>3</v>
      </c>
      <c r="J201" s="32" t="s">
        <v>27</v>
      </c>
      <c r="K201" s="32" t="s">
        <v>28</v>
      </c>
      <c r="L201" s="32" t="s">
        <v>29</v>
      </c>
      <c r="M201" s="32" t="s">
        <v>78</v>
      </c>
      <c r="N201" s="32" t="s">
        <v>587</v>
      </c>
    </row>
    <row r="202" spans="1:14" s="4" customFormat="1" ht="15.75" customHeight="1" x14ac:dyDescent="0.25">
      <c r="A202" s="49">
        <v>4274</v>
      </c>
      <c r="B202" s="32" t="s">
        <v>19</v>
      </c>
      <c r="C202" s="32" t="s">
        <v>20</v>
      </c>
      <c r="D202" s="32" t="s">
        <v>21</v>
      </c>
      <c r="E202" s="32" t="s">
        <v>22</v>
      </c>
      <c r="F202" s="46" t="s">
        <v>39</v>
      </c>
      <c r="G202" s="32" t="s">
        <v>432</v>
      </c>
      <c r="H202" s="32" t="s">
        <v>1434</v>
      </c>
      <c r="I202" s="34">
        <v>3</v>
      </c>
      <c r="J202" s="32" t="s">
        <v>27</v>
      </c>
      <c r="K202" s="32" t="s">
        <v>28</v>
      </c>
      <c r="L202" s="32" t="s">
        <v>29</v>
      </c>
      <c r="M202" s="32" t="s">
        <v>42</v>
      </c>
      <c r="N202" s="32" t="s">
        <v>588</v>
      </c>
    </row>
    <row r="203" spans="1:14" s="4" customFormat="1" ht="15.75" customHeight="1" x14ac:dyDescent="0.25">
      <c r="A203" s="49">
        <v>3360.5</v>
      </c>
      <c r="B203" s="32" t="s">
        <v>19</v>
      </c>
      <c r="C203" s="32" t="s">
        <v>20</v>
      </c>
      <c r="D203" s="32" t="s">
        <v>21</v>
      </c>
      <c r="E203" s="32" t="s">
        <v>22</v>
      </c>
      <c r="F203" s="46" t="s">
        <v>104</v>
      </c>
      <c r="G203" s="32" t="s">
        <v>406</v>
      </c>
      <c r="H203" s="32" t="s">
        <v>1429</v>
      </c>
      <c r="I203" s="34">
        <v>3</v>
      </c>
      <c r="J203" s="32" t="s">
        <v>27</v>
      </c>
      <c r="K203" s="32" t="s">
        <v>28</v>
      </c>
      <c r="L203" s="32" t="s">
        <v>29</v>
      </c>
      <c r="M203" s="32" t="s">
        <v>107</v>
      </c>
      <c r="N203" s="32" t="s">
        <v>589</v>
      </c>
    </row>
    <row r="204" spans="1:14" s="4" customFormat="1" ht="15.75" customHeight="1" x14ac:dyDescent="0.25">
      <c r="A204" s="49">
        <v>2783.5</v>
      </c>
      <c r="B204" s="32" t="s">
        <v>19</v>
      </c>
      <c r="C204" s="32" t="s">
        <v>20</v>
      </c>
      <c r="D204" s="32" t="s">
        <v>21</v>
      </c>
      <c r="E204" s="32" t="s">
        <v>22</v>
      </c>
      <c r="F204" s="46" t="s">
        <v>152</v>
      </c>
      <c r="G204" s="32" t="s">
        <v>590</v>
      </c>
      <c r="H204" s="32" t="s">
        <v>1458</v>
      </c>
      <c r="I204" s="34">
        <v>3</v>
      </c>
      <c r="J204" s="32" t="s">
        <v>27</v>
      </c>
      <c r="K204" s="32" t="s">
        <v>28</v>
      </c>
      <c r="L204" s="32" t="s">
        <v>29</v>
      </c>
      <c r="M204" s="32" t="s">
        <v>155</v>
      </c>
      <c r="N204" s="32" t="s">
        <v>592</v>
      </c>
    </row>
    <row r="205" spans="1:14" s="4" customFormat="1" ht="15.75" customHeight="1" x14ac:dyDescent="0.25">
      <c r="A205" s="49">
        <v>2206.5</v>
      </c>
      <c r="B205" s="32" t="s">
        <v>19</v>
      </c>
      <c r="C205" s="32" t="s">
        <v>20</v>
      </c>
      <c r="D205" s="32" t="s">
        <v>86</v>
      </c>
      <c r="E205" s="32" t="s">
        <v>22</v>
      </c>
      <c r="F205" s="46" t="s">
        <v>324</v>
      </c>
      <c r="G205" s="32" t="s">
        <v>325</v>
      </c>
      <c r="H205" s="32" t="s">
        <v>1414</v>
      </c>
      <c r="I205" s="34">
        <v>4</v>
      </c>
      <c r="J205" s="32" t="s">
        <v>89</v>
      </c>
      <c r="K205" s="32" t="s">
        <v>28</v>
      </c>
      <c r="L205" s="32" t="s">
        <v>29</v>
      </c>
      <c r="M205" s="32" t="s">
        <v>327</v>
      </c>
      <c r="N205" s="32" t="s">
        <v>593</v>
      </c>
    </row>
    <row r="206" spans="1:14" s="4" customFormat="1" ht="15.75" customHeight="1" x14ac:dyDescent="0.25">
      <c r="A206" s="49">
        <v>4534</v>
      </c>
      <c r="B206" s="32" t="s">
        <v>19</v>
      </c>
      <c r="C206" s="32" t="s">
        <v>20</v>
      </c>
      <c r="D206" s="32" t="s">
        <v>21</v>
      </c>
      <c r="E206" s="32" t="s">
        <v>22</v>
      </c>
      <c r="F206" s="46" t="s">
        <v>61</v>
      </c>
      <c r="G206" s="32" t="s">
        <v>513</v>
      </c>
      <c r="H206" s="32" t="s">
        <v>1448</v>
      </c>
      <c r="I206" s="34">
        <v>4</v>
      </c>
      <c r="J206" s="32" t="s">
        <v>27</v>
      </c>
      <c r="K206" s="32" t="s">
        <v>28</v>
      </c>
      <c r="L206" s="32" t="s">
        <v>29</v>
      </c>
      <c r="M206" s="32" t="s">
        <v>65</v>
      </c>
      <c r="N206" s="32" t="s">
        <v>594</v>
      </c>
    </row>
    <row r="207" spans="1:14" s="4" customFormat="1" ht="15.75" customHeight="1" x14ac:dyDescent="0.25">
      <c r="A207" s="49">
        <v>5088</v>
      </c>
      <c r="B207" s="32" t="s">
        <v>19</v>
      </c>
      <c r="C207" s="32" t="s">
        <v>20</v>
      </c>
      <c r="D207" s="32" t="s">
        <v>21</v>
      </c>
      <c r="E207" s="32" t="s">
        <v>22</v>
      </c>
      <c r="F207" s="46" t="s">
        <v>596</v>
      </c>
      <c r="G207" s="32" t="s">
        <v>597</v>
      </c>
      <c r="H207" s="32" t="s">
        <v>1459</v>
      </c>
      <c r="I207" s="34">
        <v>4</v>
      </c>
      <c r="J207" s="32" t="s">
        <v>27</v>
      </c>
      <c r="K207" s="32" t="s">
        <v>28</v>
      </c>
      <c r="L207" s="32" t="s">
        <v>29</v>
      </c>
      <c r="M207" s="32" t="s">
        <v>599</v>
      </c>
      <c r="N207" s="32" t="s">
        <v>600</v>
      </c>
    </row>
    <row r="208" spans="1:14" s="4" customFormat="1" ht="15.75" customHeight="1" x14ac:dyDescent="0.25">
      <c r="A208" s="49">
        <v>3607.5</v>
      </c>
      <c r="B208" s="32" t="s">
        <v>19</v>
      </c>
      <c r="C208" s="32" t="s">
        <v>20</v>
      </c>
      <c r="D208" s="32" t="s">
        <v>86</v>
      </c>
      <c r="E208" s="32" t="s">
        <v>22</v>
      </c>
      <c r="F208" s="46" t="s">
        <v>92</v>
      </c>
      <c r="G208" s="32" t="s">
        <v>93</v>
      </c>
      <c r="H208" s="32" t="s">
        <v>1375</v>
      </c>
      <c r="I208" s="34">
        <v>5</v>
      </c>
      <c r="J208" s="32" t="s">
        <v>89</v>
      </c>
      <c r="K208" s="32" t="s">
        <v>28</v>
      </c>
      <c r="L208" s="32" t="s">
        <v>29</v>
      </c>
      <c r="M208" s="32" t="s">
        <v>95</v>
      </c>
      <c r="N208" s="32" t="s">
        <v>601</v>
      </c>
    </row>
    <row r="209" spans="1:14" s="4" customFormat="1" ht="15.75" customHeight="1" x14ac:dyDescent="0.25">
      <c r="A209" s="49">
        <v>7916.5</v>
      </c>
      <c r="B209" s="32" t="s">
        <v>19</v>
      </c>
      <c r="C209" s="32" t="s">
        <v>20</v>
      </c>
      <c r="D209" s="32" t="s">
        <v>86</v>
      </c>
      <c r="E209" s="32" t="s">
        <v>22</v>
      </c>
      <c r="F209" s="46" t="s">
        <v>603</v>
      </c>
      <c r="G209" s="32" t="s">
        <v>604</v>
      </c>
      <c r="H209" s="32" t="s">
        <v>1460</v>
      </c>
      <c r="I209" s="34">
        <v>5</v>
      </c>
      <c r="J209" s="32" t="s">
        <v>89</v>
      </c>
      <c r="K209" s="32" t="s">
        <v>28</v>
      </c>
      <c r="L209" s="32" t="s">
        <v>29</v>
      </c>
      <c r="M209" s="32" t="s">
        <v>606</v>
      </c>
      <c r="N209" s="32" t="s">
        <v>607</v>
      </c>
    </row>
    <row r="210" spans="1:14" s="4" customFormat="1" ht="15.75" customHeight="1" x14ac:dyDescent="0.25">
      <c r="A210" s="49">
        <v>4534</v>
      </c>
      <c r="B210" s="32" t="s">
        <v>19</v>
      </c>
      <c r="C210" s="32" t="s">
        <v>20</v>
      </c>
      <c r="D210" s="32" t="s">
        <v>21</v>
      </c>
      <c r="E210" s="32" t="s">
        <v>22</v>
      </c>
      <c r="F210" s="46" t="s">
        <v>61</v>
      </c>
      <c r="G210" s="32" t="s">
        <v>372</v>
      </c>
      <c r="H210" s="32" t="s">
        <v>1422</v>
      </c>
      <c r="I210" s="34">
        <v>5</v>
      </c>
      <c r="J210" s="32" t="s">
        <v>27</v>
      </c>
      <c r="K210" s="32" t="s">
        <v>28</v>
      </c>
      <c r="L210" s="32" t="s">
        <v>29</v>
      </c>
      <c r="M210" s="32" t="s">
        <v>65</v>
      </c>
      <c r="N210" s="32" t="s">
        <v>608</v>
      </c>
    </row>
    <row r="211" spans="1:14" s="4" customFormat="1" ht="15.75" customHeight="1" x14ac:dyDescent="0.25">
      <c r="A211" s="49">
        <v>4536</v>
      </c>
      <c r="B211" s="32" t="s">
        <v>19</v>
      </c>
      <c r="C211" s="32" t="s">
        <v>20</v>
      </c>
      <c r="D211" s="32" t="s">
        <v>21</v>
      </c>
      <c r="E211" s="32" t="s">
        <v>22</v>
      </c>
      <c r="F211" s="46" t="s">
        <v>303</v>
      </c>
      <c r="G211" s="32" t="s">
        <v>304</v>
      </c>
      <c r="H211" s="32" t="s">
        <v>1411</v>
      </c>
      <c r="I211" s="34">
        <v>5</v>
      </c>
      <c r="J211" s="32" t="s">
        <v>27</v>
      </c>
      <c r="K211" s="32" t="s">
        <v>28</v>
      </c>
      <c r="L211" s="32" t="s">
        <v>29</v>
      </c>
      <c r="M211" s="32" t="s">
        <v>306</v>
      </c>
      <c r="N211" s="32" t="s">
        <v>609</v>
      </c>
    </row>
    <row r="212" spans="1:14" s="4" customFormat="1" ht="15.75" customHeight="1" x14ac:dyDescent="0.25">
      <c r="A212" s="49">
        <v>2665.5</v>
      </c>
      <c r="B212" s="32" t="s">
        <v>19</v>
      </c>
      <c r="C212" s="32" t="s">
        <v>20</v>
      </c>
      <c r="D212" s="32" t="s">
        <v>21</v>
      </c>
      <c r="E212" s="32" t="s">
        <v>22</v>
      </c>
      <c r="F212" s="46" t="s">
        <v>75</v>
      </c>
      <c r="G212" s="32" t="s">
        <v>610</v>
      </c>
      <c r="H212" s="32" t="s">
        <v>1461</v>
      </c>
      <c r="I212" s="34">
        <v>5</v>
      </c>
      <c r="J212" s="32" t="s">
        <v>27</v>
      </c>
      <c r="K212" s="32" t="s">
        <v>28</v>
      </c>
      <c r="L212" s="32" t="s">
        <v>29</v>
      </c>
      <c r="M212" s="32" t="s">
        <v>78</v>
      </c>
      <c r="N212" s="32" t="s">
        <v>612</v>
      </c>
    </row>
    <row r="213" spans="1:14" s="4" customFormat="1" ht="15.75" customHeight="1" x14ac:dyDescent="0.25">
      <c r="A213" s="49">
        <v>2665.5</v>
      </c>
      <c r="B213" s="32" t="s">
        <v>19</v>
      </c>
      <c r="C213" s="32" t="s">
        <v>20</v>
      </c>
      <c r="D213" s="32" t="s">
        <v>21</v>
      </c>
      <c r="E213" s="32" t="s">
        <v>22</v>
      </c>
      <c r="F213" s="46" t="s">
        <v>75</v>
      </c>
      <c r="G213" s="32" t="s">
        <v>399</v>
      </c>
      <c r="H213" s="32" t="s">
        <v>1428</v>
      </c>
      <c r="I213" s="34">
        <v>5</v>
      </c>
      <c r="J213" s="32" t="s">
        <v>27</v>
      </c>
      <c r="K213" s="32" t="s">
        <v>28</v>
      </c>
      <c r="L213" s="32" t="s">
        <v>29</v>
      </c>
      <c r="M213" s="32" t="s">
        <v>78</v>
      </c>
      <c r="N213" s="32" t="s">
        <v>613</v>
      </c>
    </row>
    <row r="214" spans="1:14" s="4" customFormat="1" ht="15.75" customHeight="1" x14ac:dyDescent="0.25">
      <c r="A214" s="49">
        <v>3240.5</v>
      </c>
      <c r="B214" s="32" t="s">
        <v>19</v>
      </c>
      <c r="C214" s="32" t="s">
        <v>20</v>
      </c>
      <c r="D214" s="32" t="s">
        <v>21</v>
      </c>
      <c r="E214" s="32" t="s">
        <v>22</v>
      </c>
      <c r="F214" s="46" t="s">
        <v>75</v>
      </c>
      <c r="G214" s="32" t="s">
        <v>81</v>
      </c>
      <c r="H214" s="32" t="s">
        <v>1373</v>
      </c>
      <c r="I214" s="34">
        <v>5</v>
      </c>
      <c r="J214" s="32" t="s">
        <v>27</v>
      </c>
      <c r="K214" s="32" t="s">
        <v>28</v>
      </c>
      <c r="L214" s="32" t="s">
        <v>29</v>
      </c>
      <c r="M214" s="32" t="s">
        <v>78</v>
      </c>
      <c r="N214" s="32" t="s">
        <v>614</v>
      </c>
    </row>
    <row r="215" spans="1:14" s="4" customFormat="1" ht="15.75" customHeight="1" x14ac:dyDescent="0.25">
      <c r="A215" s="49">
        <v>2302.91</v>
      </c>
      <c r="B215" s="32" t="s">
        <v>19</v>
      </c>
      <c r="C215" s="32" t="s">
        <v>20</v>
      </c>
      <c r="D215" s="32" t="s">
        <v>21</v>
      </c>
      <c r="E215" s="32" t="s">
        <v>22</v>
      </c>
      <c r="F215" s="46" t="s">
        <v>152</v>
      </c>
      <c r="G215" s="32" t="s">
        <v>350</v>
      </c>
      <c r="H215" s="32" t="s">
        <v>1419</v>
      </c>
      <c r="I215" s="34">
        <v>5</v>
      </c>
      <c r="J215" s="32" t="s">
        <v>27</v>
      </c>
      <c r="K215" s="32" t="s">
        <v>28</v>
      </c>
      <c r="L215" s="32" t="s">
        <v>29</v>
      </c>
      <c r="M215" s="32" t="s">
        <v>155</v>
      </c>
      <c r="N215" s="32" t="s">
        <v>616</v>
      </c>
    </row>
    <row r="216" spans="1:14" s="4" customFormat="1" ht="15.75" customHeight="1" x14ac:dyDescent="0.25">
      <c r="A216" s="49">
        <v>5317</v>
      </c>
      <c r="B216" s="32" t="s">
        <v>19</v>
      </c>
      <c r="C216" s="32" t="s">
        <v>20</v>
      </c>
      <c r="D216" s="32" t="s">
        <v>21</v>
      </c>
      <c r="E216" s="32" t="s">
        <v>22</v>
      </c>
      <c r="F216" s="46" t="s">
        <v>167</v>
      </c>
      <c r="G216" s="32" t="s">
        <v>390</v>
      </c>
      <c r="H216" s="32" t="s">
        <v>1427</v>
      </c>
      <c r="I216" s="34">
        <v>5</v>
      </c>
      <c r="J216" s="32" t="s">
        <v>27</v>
      </c>
      <c r="K216" s="32" t="s">
        <v>28</v>
      </c>
      <c r="L216" s="32" t="s">
        <v>29</v>
      </c>
      <c r="M216" s="32" t="s">
        <v>170</v>
      </c>
      <c r="N216" s="32" t="s">
        <v>617</v>
      </c>
    </row>
    <row r="217" spans="1:14" s="4" customFormat="1" ht="15.75" customHeight="1" x14ac:dyDescent="0.25">
      <c r="A217" s="49">
        <v>5317</v>
      </c>
      <c r="B217" s="32" t="s">
        <v>19</v>
      </c>
      <c r="C217" s="32" t="s">
        <v>20</v>
      </c>
      <c r="D217" s="32" t="s">
        <v>21</v>
      </c>
      <c r="E217" s="32" t="s">
        <v>22</v>
      </c>
      <c r="F217" s="46" t="s">
        <v>167</v>
      </c>
      <c r="G217" s="32" t="s">
        <v>292</v>
      </c>
      <c r="H217" s="32" t="s">
        <v>1409</v>
      </c>
      <c r="I217" s="34">
        <v>5</v>
      </c>
      <c r="J217" s="32" t="s">
        <v>27</v>
      </c>
      <c r="K217" s="32" t="s">
        <v>28</v>
      </c>
      <c r="L217" s="32" t="s">
        <v>29</v>
      </c>
      <c r="M217" s="32" t="s">
        <v>170</v>
      </c>
      <c r="N217" s="32" t="s">
        <v>618</v>
      </c>
    </row>
    <row r="218" spans="1:14" s="4" customFormat="1" ht="15.75" customHeight="1" x14ac:dyDescent="0.25">
      <c r="A218" s="49">
        <v>3467</v>
      </c>
      <c r="B218" s="32" t="s">
        <v>19</v>
      </c>
      <c r="C218" s="32" t="s">
        <v>20</v>
      </c>
      <c r="D218" s="32" t="s">
        <v>86</v>
      </c>
      <c r="E218" s="32" t="s">
        <v>22</v>
      </c>
      <c r="F218" s="46" t="s">
        <v>223</v>
      </c>
      <c r="G218" s="32" t="s">
        <v>412</v>
      </c>
      <c r="H218" s="32" t="s">
        <v>1430</v>
      </c>
      <c r="I218" s="34">
        <v>6</v>
      </c>
      <c r="J218" s="32" t="s">
        <v>89</v>
      </c>
      <c r="K218" s="32" t="s">
        <v>28</v>
      </c>
      <c r="L218" s="32" t="s">
        <v>29</v>
      </c>
      <c r="M218" s="32" t="s">
        <v>226</v>
      </c>
      <c r="N218" s="32" t="s">
        <v>619</v>
      </c>
    </row>
    <row r="219" spans="1:14" s="4" customFormat="1" ht="15.75" customHeight="1" x14ac:dyDescent="0.25">
      <c r="A219" s="49">
        <v>3398</v>
      </c>
      <c r="B219" s="32" t="s">
        <v>19</v>
      </c>
      <c r="C219" s="32" t="s">
        <v>20</v>
      </c>
      <c r="D219" s="32" t="s">
        <v>86</v>
      </c>
      <c r="E219" s="32" t="s">
        <v>22</v>
      </c>
      <c r="F219" s="46" t="s">
        <v>298</v>
      </c>
      <c r="G219" s="35" t="s">
        <v>547</v>
      </c>
      <c r="H219" s="32" t="s">
        <v>1455</v>
      </c>
      <c r="I219" s="34">
        <v>6</v>
      </c>
      <c r="J219" s="32" t="s">
        <v>89</v>
      </c>
      <c r="K219" s="32" t="s">
        <v>28</v>
      </c>
      <c r="L219" s="32" t="s">
        <v>29</v>
      </c>
      <c r="M219" s="32" t="s">
        <v>301</v>
      </c>
      <c r="N219" s="35" t="s">
        <v>620</v>
      </c>
    </row>
    <row r="220" spans="1:14" s="4" customFormat="1" ht="15.75" customHeight="1" x14ac:dyDescent="0.25">
      <c r="A220" s="49">
        <v>6502.5</v>
      </c>
      <c r="B220" s="32" t="s">
        <v>19</v>
      </c>
      <c r="C220" s="32" t="s">
        <v>20</v>
      </c>
      <c r="D220" s="32" t="s">
        <v>86</v>
      </c>
      <c r="E220" s="32" t="s">
        <v>22</v>
      </c>
      <c r="F220" s="46" t="s">
        <v>180</v>
      </c>
      <c r="G220" s="32" t="s">
        <v>622</v>
      </c>
      <c r="H220" s="32" t="s">
        <v>1462</v>
      </c>
      <c r="I220" s="34">
        <v>6</v>
      </c>
      <c r="J220" s="32" t="s">
        <v>89</v>
      </c>
      <c r="K220" s="32" t="s">
        <v>28</v>
      </c>
      <c r="L220" s="32" t="s">
        <v>29</v>
      </c>
      <c r="M220" s="32" t="s">
        <v>183</v>
      </c>
      <c r="N220" s="32" t="s">
        <v>624</v>
      </c>
    </row>
    <row r="221" spans="1:14" s="4" customFormat="1" ht="15.75" customHeight="1" x14ac:dyDescent="0.25">
      <c r="A221" s="49">
        <v>3867.5</v>
      </c>
      <c r="B221" s="32" t="s">
        <v>19</v>
      </c>
      <c r="C221" s="32" t="s">
        <v>20</v>
      </c>
      <c r="D221" s="32" t="s">
        <v>21</v>
      </c>
      <c r="E221" s="32" t="s">
        <v>22</v>
      </c>
      <c r="F221" s="46" t="s">
        <v>223</v>
      </c>
      <c r="G221" s="32" t="s">
        <v>626</v>
      </c>
      <c r="H221" s="32" t="s">
        <v>1463</v>
      </c>
      <c r="I221" s="34">
        <v>6</v>
      </c>
      <c r="J221" s="32" t="s">
        <v>27</v>
      </c>
      <c r="K221" s="32" t="s">
        <v>28</v>
      </c>
      <c r="L221" s="32" t="s">
        <v>29</v>
      </c>
      <c r="M221" s="32" t="s">
        <v>226</v>
      </c>
      <c r="N221" s="32" t="s">
        <v>628</v>
      </c>
    </row>
    <row r="222" spans="1:14" s="4" customFormat="1" ht="15.75" customHeight="1" x14ac:dyDescent="0.25">
      <c r="A222" s="49">
        <v>2665.5</v>
      </c>
      <c r="B222" s="32" t="s">
        <v>19</v>
      </c>
      <c r="C222" s="32" t="s">
        <v>20</v>
      </c>
      <c r="D222" s="32" t="s">
        <v>21</v>
      </c>
      <c r="E222" s="32" t="s">
        <v>22</v>
      </c>
      <c r="F222" s="46" t="s">
        <v>334</v>
      </c>
      <c r="G222" s="32" t="s">
        <v>335</v>
      </c>
      <c r="H222" s="32" t="s">
        <v>1416</v>
      </c>
      <c r="I222" s="34">
        <v>6</v>
      </c>
      <c r="J222" s="32" t="s">
        <v>27</v>
      </c>
      <c r="K222" s="32" t="s">
        <v>28</v>
      </c>
      <c r="L222" s="32" t="s">
        <v>29</v>
      </c>
      <c r="M222" s="32" t="s">
        <v>337</v>
      </c>
      <c r="N222" s="32" t="s">
        <v>629</v>
      </c>
    </row>
    <row r="223" spans="1:14" s="4" customFormat="1" ht="15.75" customHeight="1" x14ac:dyDescent="0.25">
      <c r="A223" s="49">
        <v>2665.5</v>
      </c>
      <c r="B223" s="32" t="s">
        <v>19</v>
      </c>
      <c r="C223" s="32" t="s">
        <v>20</v>
      </c>
      <c r="D223" s="32" t="s">
        <v>21</v>
      </c>
      <c r="E223" s="32" t="s">
        <v>22</v>
      </c>
      <c r="F223" s="46" t="s">
        <v>75</v>
      </c>
      <c r="G223" s="32" t="s">
        <v>399</v>
      </c>
      <c r="H223" s="32" t="s">
        <v>1428</v>
      </c>
      <c r="I223" s="34">
        <v>6</v>
      </c>
      <c r="J223" s="32" t="s">
        <v>27</v>
      </c>
      <c r="K223" s="32" t="s">
        <v>28</v>
      </c>
      <c r="L223" s="32" t="s">
        <v>29</v>
      </c>
      <c r="M223" s="32" t="s">
        <v>78</v>
      </c>
      <c r="N223" s="32" t="s">
        <v>630</v>
      </c>
    </row>
    <row r="224" spans="1:14" s="4" customFormat="1" ht="15.75" customHeight="1" x14ac:dyDescent="0.25">
      <c r="A224" s="49">
        <v>4280.5</v>
      </c>
      <c r="B224" s="32" t="s">
        <v>19</v>
      </c>
      <c r="C224" s="32" t="s">
        <v>20</v>
      </c>
      <c r="D224" s="32" t="s">
        <v>21</v>
      </c>
      <c r="E224" s="32" t="s">
        <v>22</v>
      </c>
      <c r="F224" s="46" t="s">
        <v>75</v>
      </c>
      <c r="G224" s="32" t="s">
        <v>376</v>
      </c>
      <c r="H224" s="32" t="s">
        <v>1423</v>
      </c>
      <c r="I224" s="34">
        <v>6</v>
      </c>
      <c r="J224" s="32" t="s">
        <v>27</v>
      </c>
      <c r="K224" s="32" t="s">
        <v>28</v>
      </c>
      <c r="L224" s="32" t="s">
        <v>29</v>
      </c>
      <c r="M224" s="32" t="s">
        <v>78</v>
      </c>
      <c r="N224" s="32" t="s">
        <v>631</v>
      </c>
    </row>
    <row r="225" spans="1:14" s="4" customFormat="1" ht="15.75" customHeight="1" x14ac:dyDescent="0.25">
      <c r="A225" s="49">
        <v>3250</v>
      </c>
      <c r="B225" s="32" t="s">
        <v>19</v>
      </c>
      <c r="C225" s="32" t="s">
        <v>20</v>
      </c>
      <c r="D225" s="32" t="s">
        <v>21</v>
      </c>
      <c r="E225" s="32" t="s">
        <v>22</v>
      </c>
      <c r="F225" s="46" t="s">
        <v>39</v>
      </c>
      <c r="G225" s="32" t="s">
        <v>544</v>
      </c>
      <c r="H225" s="32" t="s">
        <v>1454</v>
      </c>
      <c r="I225" s="34">
        <v>6</v>
      </c>
      <c r="J225" s="32" t="s">
        <v>27</v>
      </c>
      <c r="K225" s="32" t="s">
        <v>28</v>
      </c>
      <c r="L225" s="32" t="s">
        <v>29</v>
      </c>
      <c r="M225" s="32" t="s">
        <v>42</v>
      </c>
      <c r="N225" s="32" t="s">
        <v>632</v>
      </c>
    </row>
    <row r="226" spans="1:14" s="4" customFormat="1" ht="15.75" customHeight="1" x14ac:dyDescent="0.25">
      <c r="A226" s="49">
        <v>3250</v>
      </c>
      <c r="B226" s="32" t="s">
        <v>19</v>
      </c>
      <c r="C226" s="32" t="s">
        <v>20</v>
      </c>
      <c r="D226" s="32" t="s">
        <v>21</v>
      </c>
      <c r="E226" s="32" t="s">
        <v>22</v>
      </c>
      <c r="F226" s="46" t="s">
        <v>39</v>
      </c>
      <c r="G226" s="32" t="s">
        <v>633</v>
      </c>
      <c r="H226" s="32" t="s">
        <v>1464</v>
      </c>
      <c r="I226" s="34">
        <v>6</v>
      </c>
      <c r="J226" s="32" t="s">
        <v>27</v>
      </c>
      <c r="K226" s="32" t="s">
        <v>28</v>
      </c>
      <c r="L226" s="32" t="s">
        <v>29</v>
      </c>
      <c r="M226" s="32" t="s">
        <v>42</v>
      </c>
      <c r="N226" s="32" t="s">
        <v>635</v>
      </c>
    </row>
    <row r="227" spans="1:14" s="4" customFormat="1" ht="15.75" customHeight="1" x14ac:dyDescent="0.25">
      <c r="A227" s="49">
        <v>4274</v>
      </c>
      <c r="B227" s="32" t="s">
        <v>19</v>
      </c>
      <c r="C227" s="32" t="s">
        <v>20</v>
      </c>
      <c r="D227" s="32" t="s">
        <v>21</v>
      </c>
      <c r="E227" s="32" t="s">
        <v>22</v>
      </c>
      <c r="F227" s="46" t="s">
        <v>39</v>
      </c>
      <c r="G227" s="32" t="s">
        <v>636</v>
      </c>
      <c r="H227" s="32" t="s">
        <v>1465</v>
      </c>
      <c r="I227" s="34">
        <v>6</v>
      </c>
      <c r="J227" s="32" t="s">
        <v>27</v>
      </c>
      <c r="K227" s="32" t="s">
        <v>28</v>
      </c>
      <c r="L227" s="32" t="s">
        <v>29</v>
      </c>
      <c r="M227" s="32" t="s">
        <v>42</v>
      </c>
      <c r="N227" s="32" t="s">
        <v>638</v>
      </c>
    </row>
    <row r="228" spans="1:14" s="4" customFormat="1" ht="15.75" customHeight="1" x14ac:dyDescent="0.25">
      <c r="A228" s="49">
        <v>4444.5</v>
      </c>
      <c r="B228" s="32" t="s">
        <v>19</v>
      </c>
      <c r="C228" s="32" t="s">
        <v>20</v>
      </c>
      <c r="D228" s="32" t="s">
        <v>21</v>
      </c>
      <c r="E228" s="32" t="s">
        <v>22</v>
      </c>
      <c r="F228" s="46" t="s">
        <v>314</v>
      </c>
      <c r="G228" s="32" t="s">
        <v>315</v>
      </c>
      <c r="H228" s="32" t="s">
        <v>1413</v>
      </c>
      <c r="I228" s="34">
        <v>6</v>
      </c>
      <c r="J228" s="32" t="s">
        <v>27</v>
      </c>
      <c r="K228" s="32" t="s">
        <v>28</v>
      </c>
      <c r="L228" s="32" t="s">
        <v>29</v>
      </c>
      <c r="M228" s="32" t="s">
        <v>317</v>
      </c>
      <c r="N228" s="32" t="s">
        <v>639</v>
      </c>
    </row>
    <row r="229" spans="1:14" s="4" customFormat="1" ht="15.75" customHeight="1" x14ac:dyDescent="0.25">
      <c r="A229" s="49">
        <v>2708</v>
      </c>
      <c r="B229" s="32" t="s">
        <v>19</v>
      </c>
      <c r="C229" s="32" t="s">
        <v>20</v>
      </c>
      <c r="D229" s="32" t="s">
        <v>21</v>
      </c>
      <c r="E229" s="32" t="s">
        <v>22</v>
      </c>
      <c r="F229" s="46" t="s">
        <v>104</v>
      </c>
      <c r="G229" s="32" t="s">
        <v>105</v>
      </c>
      <c r="H229" s="32" t="s">
        <v>1377</v>
      </c>
      <c r="I229" s="34">
        <v>6</v>
      </c>
      <c r="J229" s="32" t="s">
        <v>27</v>
      </c>
      <c r="K229" s="32" t="s">
        <v>28</v>
      </c>
      <c r="L229" s="32" t="s">
        <v>29</v>
      </c>
      <c r="M229" s="32" t="s">
        <v>107</v>
      </c>
      <c r="N229" s="32" t="s">
        <v>640</v>
      </c>
    </row>
    <row r="230" spans="1:14" s="4" customFormat="1" ht="15.75" customHeight="1" x14ac:dyDescent="0.25">
      <c r="A230" s="49">
        <v>4487.5</v>
      </c>
      <c r="B230" s="32" t="s">
        <v>19</v>
      </c>
      <c r="C230" s="32" t="s">
        <v>20</v>
      </c>
      <c r="D230" s="32" t="s">
        <v>21</v>
      </c>
      <c r="E230" s="32" t="s">
        <v>22</v>
      </c>
      <c r="F230" s="46" t="s">
        <v>104</v>
      </c>
      <c r="G230" s="32" t="s">
        <v>497</v>
      </c>
      <c r="H230" s="32" t="s">
        <v>1445</v>
      </c>
      <c r="I230" s="34">
        <v>6</v>
      </c>
      <c r="J230" s="32" t="s">
        <v>27</v>
      </c>
      <c r="K230" s="32" t="s">
        <v>28</v>
      </c>
      <c r="L230" s="32" t="s">
        <v>29</v>
      </c>
      <c r="M230" s="32" t="s">
        <v>107</v>
      </c>
      <c r="N230" s="32" t="s">
        <v>641</v>
      </c>
    </row>
    <row r="231" spans="1:14" s="4" customFormat="1" ht="15.75" customHeight="1" x14ac:dyDescent="0.25">
      <c r="A231" s="49">
        <v>3607.5</v>
      </c>
      <c r="B231" s="32" t="s">
        <v>19</v>
      </c>
      <c r="C231" s="32" t="s">
        <v>20</v>
      </c>
      <c r="D231" s="32" t="s">
        <v>86</v>
      </c>
      <c r="E231" s="32" t="s">
        <v>22</v>
      </c>
      <c r="F231" s="46" t="s">
        <v>92</v>
      </c>
      <c r="G231" s="32" t="s">
        <v>93</v>
      </c>
      <c r="H231" s="32" t="s">
        <v>1375</v>
      </c>
      <c r="I231" s="34">
        <v>7</v>
      </c>
      <c r="J231" s="32" t="s">
        <v>89</v>
      </c>
      <c r="K231" s="32" t="s">
        <v>28</v>
      </c>
      <c r="L231" s="32" t="s">
        <v>29</v>
      </c>
      <c r="M231" s="32" t="s">
        <v>95</v>
      </c>
      <c r="N231" s="32" t="s">
        <v>642</v>
      </c>
    </row>
    <row r="232" spans="1:14" s="4" customFormat="1" ht="15.75" customHeight="1" x14ac:dyDescent="0.25">
      <c r="A232" s="49">
        <v>-383.23</v>
      </c>
      <c r="B232" s="32" t="s">
        <v>19</v>
      </c>
      <c r="C232" s="32" t="s">
        <v>20</v>
      </c>
      <c r="D232" s="32" t="s">
        <v>21</v>
      </c>
      <c r="E232" s="32" t="s">
        <v>22</v>
      </c>
      <c r="F232" s="46" t="s">
        <v>33</v>
      </c>
      <c r="G232" s="32" t="s">
        <v>34</v>
      </c>
      <c r="H232" s="32" t="s">
        <v>1365</v>
      </c>
      <c r="I232" s="34">
        <v>7</v>
      </c>
      <c r="J232" s="32" t="s">
        <v>27</v>
      </c>
      <c r="K232" s="32" t="s">
        <v>28</v>
      </c>
      <c r="L232" s="32" t="s">
        <v>29</v>
      </c>
      <c r="M232" s="32" t="s">
        <v>36</v>
      </c>
      <c r="N232" s="32" t="s">
        <v>644</v>
      </c>
    </row>
    <row r="233" spans="1:14" s="4" customFormat="1" ht="15.75" customHeight="1" x14ac:dyDescent="0.25">
      <c r="A233" s="49">
        <v>3902.5</v>
      </c>
      <c r="B233" s="32" t="s">
        <v>19</v>
      </c>
      <c r="C233" s="32" t="s">
        <v>20</v>
      </c>
      <c r="D233" s="32" t="s">
        <v>21</v>
      </c>
      <c r="E233" s="32" t="s">
        <v>22</v>
      </c>
      <c r="F233" s="46" t="s">
        <v>75</v>
      </c>
      <c r="G233" s="32" t="s">
        <v>568</v>
      </c>
      <c r="H233" s="32" t="s">
        <v>1457</v>
      </c>
      <c r="I233" s="34">
        <v>7</v>
      </c>
      <c r="J233" s="32" t="s">
        <v>27</v>
      </c>
      <c r="K233" s="32" t="s">
        <v>28</v>
      </c>
      <c r="L233" s="32" t="s">
        <v>29</v>
      </c>
      <c r="M233" s="32" t="s">
        <v>78</v>
      </c>
      <c r="N233" s="32" t="s">
        <v>645</v>
      </c>
    </row>
    <row r="234" spans="1:14" s="4" customFormat="1" ht="15.75" customHeight="1" x14ac:dyDescent="0.25">
      <c r="A234" s="49">
        <v>3503.5</v>
      </c>
      <c r="B234" s="32" t="s">
        <v>19</v>
      </c>
      <c r="C234" s="32" t="s">
        <v>20</v>
      </c>
      <c r="D234" s="32" t="s">
        <v>21</v>
      </c>
      <c r="E234" s="32" t="s">
        <v>22</v>
      </c>
      <c r="F234" s="46" t="s">
        <v>49</v>
      </c>
      <c r="G234" s="32" t="s">
        <v>50</v>
      </c>
      <c r="H234" s="32" t="s">
        <v>1368</v>
      </c>
      <c r="I234" s="34">
        <v>7</v>
      </c>
      <c r="J234" s="32" t="s">
        <v>27</v>
      </c>
      <c r="K234" s="32" t="s">
        <v>28</v>
      </c>
      <c r="L234" s="32" t="s">
        <v>29</v>
      </c>
      <c r="M234" s="32" t="s">
        <v>52</v>
      </c>
      <c r="N234" s="32" t="s">
        <v>646</v>
      </c>
    </row>
    <row r="235" spans="1:14" s="4" customFormat="1" ht="15.75" customHeight="1" x14ac:dyDescent="0.25">
      <c r="A235" s="49">
        <v>3394.5</v>
      </c>
      <c r="B235" s="32" t="s">
        <v>19</v>
      </c>
      <c r="C235" s="32" t="s">
        <v>20</v>
      </c>
      <c r="D235" s="32" t="s">
        <v>21</v>
      </c>
      <c r="E235" s="32" t="s">
        <v>22</v>
      </c>
      <c r="F235" s="46" t="s">
        <v>201</v>
      </c>
      <c r="G235" s="32" t="s">
        <v>202</v>
      </c>
      <c r="H235" s="32" t="s">
        <v>1393</v>
      </c>
      <c r="I235" s="34">
        <v>8</v>
      </c>
      <c r="J235" s="32" t="s">
        <v>27</v>
      </c>
      <c r="K235" s="32" t="s">
        <v>28</v>
      </c>
      <c r="L235" s="32" t="s">
        <v>29</v>
      </c>
      <c r="M235" s="32" t="s">
        <v>204</v>
      </c>
      <c r="N235" s="32" t="s">
        <v>647</v>
      </c>
    </row>
    <row r="236" spans="1:14" s="4" customFormat="1" ht="15.75" customHeight="1" x14ac:dyDescent="0.25">
      <c r="A236" s="49">
        <v>3250</v>
      </c>
      <c r="B236" s="32" t="s">
        <v>19</v>
      </c>
      <c r="C236" s="32" t="s">
        <v>20</v>
      </c>
      <c r="D236" s="32" t="s">
        <v>21</v>
      </c>
      <c r="E236" s="32" t="s">
        <v>22</v>
      </c>
      <c r="F236" s="46" t="s">
        <v>39</v>
      </c>
      <c r="G236" s="32" t="s">
        <v>213</v>
      </c>
      <c r="H236" s="32" t="s">
        <v>1395</v>
      </c>
      <c r="I236" s="34">
        <v>8</v>
      </c>
      <c r="J236" s="32" t="s">
        <v>27</v>
      </c>
      <c r="K236" s="32" t="s">
        <v>28</v>
      </c>
      <c r="L236" s="32" t="s">
        <v>29</v>
      </c>
      <c r="M236" s="32" t="s">
        <v>42</v>
      </c>
      <c r="N236" s="32" t="s">
        <v>648</v>
      </c>
    </row>
    <row r="237" spans="1:14" s="4" customFormat="1" ht="15.75" customHeight="1" x14ac:dyDescent="0.25">
      <c r="A237" s="49">
        <v>3250</v>
      </c>
      <c r="B237" s="32" t="s">
        <v>19</v>
      </c>
      <c r="C237" s="32" t="s">
        <v>20</v>
      </c>
      <c r="D237" s="32" t="s">
        <v>21</v>
      </c>
      <c r="E237" s="32" t="s">
        <v>22</v>
      </c>
      <c r="F237" s="46" t="s">
        <v>39</v>
      </c>
      <c r="G237" s="32" t="s">
        <v>633</v>
      </c>
      <c r="H237" s="32" t="s">
        <v>1464</v>
      </c>
      <c r="I237" s="34">
        <v>8</v>
      </c>
      <c r="J237" s="32" t="s">
        <v>27</v>
      </c>
      <c r="K237" s="32" t="s">
        <v>28</v>
      </c>
      <c r="L237" s="32" t="s">
        <v>29</v>
      </c>
      <c r="M237" s="32" t="s">
        <v>42</v>
      </c>
      <c r="N237" s="32" t="s">
        <v>649</v>
      </c>
    </row>
    <row r="238" spans="1:14" s="4" customFormat="1" ht="15.75" customHeight="1" x14ac:dyDescent="0.25">
      <c r="A238" s="49">
        <v>2934.5</v>
      </c>
      <c r="B238" s="32" t="s">
        <v>19</v>
      </c>
      <c r="C238" s="32" t="s">
        <v>20</v>
      </c>
      <c r="D238" s="32" t="s">
        <v>21</v>
      </c>
      <c r="E238" s="32" t="s">
        <v>22</v>
      </c>
      <c r="F238" s="46" t="s">
        <v>49</v>
      </c>
      <c r="G238" s="32" t="s">
        <v>162</v>
      </c>
      <c r="H238" s="32" t="s">
        <v>1386</v>
      </c>
      <c r="I238" s="34">
        <v>8</v>
      </c>
      <c r="J238" s="32" t="s">
        <v>27</v>
      </c>
      <c r="K238" s="32" t="s">
        <v>28</v>
      </c>
      <c r="L238" s="32" t="s">
        <v>29</v>
      </c>
      <c r="M238" s="32" t="s">
        <v>52</v>
      </c>
      <c r="N238" s="32" t="s">
        <v>650</v>
      </c>
    </row>
    <row r="239" spans="1:14" s="4" customFormat="1" ht="15.75" customHeight="1" x14ac:dyDescent="0.25">
      <c r="A239" s="49">
        <v>3340.5</v>
      </c>
      <c r="B239" s="32" t="s">
        <v>19</v>
      </c>
      <c r="C239" s="32" t="s">
        <v>20</v>
      </c>
      <c r="D239" s="32" t="s">
        <v>21</v>
      </c>
      <c r="E239" s="32" t="s">
        <v>22</v>
      </c>
      <c r="F239" s="46" t="s">
        <v>49</v>
      </c>
      <c r="G239" s="32" t="s">
        <v>387</v>
      </c>
      <c r="H239" s="32" t="s">
        <v>1426</v>
      </c>
      <c r="I239" s="34">
        <v>8</v>
      </c>
      <c r="J239" s="32" t="s">
        <v>27</v>
      </c>
      <c r="K239" s="32" t="s">
        <v>28</v>
      </c>
      <c r="L239" s="32" t="s">
        <v>29</v>
      </c>
      <c r="M239" s="32" t="s">
        <v>52</v>
      </c>
      <c r="N239" s="32" t="s">
        <v>651</v>
      </c>
    </row>
    <row r="240" spans="1:14" s="4" customFormat="1" ht="15.75" customHeight="1" x14ac:dyDescent="0.25">
      <c r="A240" s="49">
        <v>8123.5</v>
      </c>
      <c r="B240" s="32" t="s">
        <v>19</v>
      </c>
      <c r="C240" s="32" t="s">
        <v>20</v>
      </c>
      <c r="D240" s="32" t="s">
        <v>21</v>
      </c>
      <c r="E240" s="32" t="s">
        <v>22</v>
      </c>
      <c r="F240" s="46" t="s">
        <v>653</v>
      </c>
      <c r="G240" s="32" t="s">
        <v>654</v>
      </c>
      <c r="H240" s="32" t="s">
        <v>1466</v>
      </c>
      <c r="I240" s="34">
        <v>8</v>
      </c>
      <c r="J240" s="32" t="s">
        <v>27</v>
      </c>
      <c r="K240" s="32" t="s">
        <v>28</v>
      </c>
      <c r="L240" s="32" t="s">
        <v>29</v>
      </c>
      <c r="M240" s="32" t="s">
        <v>656</v>
      </c>
      <c r="N240" s="32" t="s">
        <v>657</v>
      </c>
    </row>
    <row r="241" spans="1:15" ht="15.75" customHeight="1" x14ac:dyDescent="0.25">
      <c r="A241" s="49">
        <v>3166.5</v>
      </c>
      <c r="B241" s="32" t="s">
        <v>19</v>
      </c>
      <c r="C241" s="32" t="s">
        <v>20</v>
      </c>
      <c r="D241" s="32" t="s">
        <v>86</v>
      </c>
      <c r="E241" s="32" t="s">
        <v>22</v>
      </c>
      <c r="F241" s="46" t="s">
        <v>174</v>
      </c>
      <c r="G241" s="32" t="s">
        <v>175</v>
      </c>
      <c r="H241" s="32" t="s">
        <v>1388</v>
      </c>
      <c r="I241" s="34">
        <v>9</v>
      </c>
      <c r="J241" s="32" t="s">
        <v>89</v>
      </c>
      <c r="K241" s="32" t="s">
        <v>28</v>
      </c>
      <c r="L241" s="32" t="s">
        <v>29</v>
      </c>
      <c r="M241" s="32" t="s">
        <v>177</v>
      </c>
      <c r="N241" s="32" t="s">
        <v>658</v>
      </c>
    </row>
    <row r="242" spans="1:15" ht="15.75" customHeight="1" x14ac:dyDescent="0.25">
      <c r="A242" s="49">
        <v>3398</v>
      </c>
      <c r="B242" s="32" t="s">
        <v>19</v>
      </c>
      <c r="C242" s="32" t="s">
        <v>20</v>
      </c>
      <c r="D242" s="32" t="s">
        <v>86</v>
      </c>
      <c r="E242" s="32" t="s">
        <v>22</v>
      </c>
      <c r="F242" s="46" t="s">
        <v>298</v>
      </c>
      <c r="G242" s="32" t="s">
        <v>299</v>
      </c>
      <c r="H242" s="32" t="s">
        <v>1410</v>
      </c>
      <c r="I242" s="34">
        <v>9</v>
      </c>
      <c r="J242" s="32" t="s">
        <v>89</v>
      </c>
      <c r="K242" s="32" t="s">
        <v>28</v>
      </c>
      <c r="L242" s="32" t="s">
        <v>29</v>
      </c>
      <c r="M242" s="32" t="s">
        <v>301</v>
      </c>
      <c r="N242" s="32" t="s">
        <v>659</v>
      </c>
    </row>
    <row r="243" spans="1:15" ht="15.75" customHeight="1" x14ac:dyDescent="0.25">
      <c r="A243" s="49">
        <v>2783.5</v>
      </c>
      <c r="B243" s="32" t="s">
        <v>19</v>
      </c>
      <c r="C243" s="32" t="s">
        <v>20</v>
      </c>
      <c r="D243" s="32" t="s">
        <v>86</v>
      </c>
      <c r="E243" s="32" t="s">
        <v>22</v>
      </c>
      <c r="F243" s="46" t="s">
        <v>152</v>
      </c>
      <c r="G243" s="35" t="s">
        <v>660</v>
      </c>
      <c r="H243" s="32" t="s">
        <v>1467</v>
      </c>
      <c r="I243" s="34">
        <v>9</v>
      </c>
      <c r="J243" s="32" t="s">
        <v>89</v>
      </c>
      <c r="K243" s="32" t="s">
        <v>28</v>
      </c>
      <c r="L243" s="32" t="s">
        <v>29</v>
      </c>
      <c r="M243" s="32" t="s">
        <v>155</v>
      </c>
      <c r="N243" s="35" t="s">
        <v>662</v>
      </c>
    </row>
    <row r="244" spans="1:15" ht="15.75" customHeight="1" x14ac:dyDescent="0.25">
      <c r="A244" s="49">
        <v>7916.5</v>
      </c>
      <c r="B244" s="32" t="s">
        <v>19</v>
      </c>
      <c r="C244" s="32" t="s">
        <v>20</v>
      </c>
      <c r="D244" s="32" t="s">
        <v>86</v>
      </c>
      <c r="E244" s="32" t="s">
        <v>22</v>
      </c>
      <c r="F244" s="46" t="s">
        <v>603</v>
      </c>
      <c r="G244" s="32" t="s">
        <v>604</v>
      </c>
      <c r="H244" s="32" t="s">
        <v>1460</v>
      </c>
      <c r="I244" s="34">
        <v>9</v>
      </c>
      <c r="J244" s="32" t="s">
        <v>89</v>
      </c>
      <c r="K244" s="32" t="s">
        <v>28</v>
      </c>
      <c r="L244" s="32" t="s">
        <v>29</v>
      </c>
      <c r="M244" s="32" t="s">
        <v>606</v>
      </c>
      <c r="N244" s="32" t="s">
        <v>663</v>
      </c>
    </row>
    <row r="245" spans="1:15" ht="15.75" customHeight="1" x14ac:dyDescent="0.25">
      <c r="A245" s="49">
        <v>4140</v>
      </c>
      <c r="B245" s="32" t="s">
        <v>19</v>
      </c>
      <c r="C245" s="32" t="s">
        <v>20</v>
      </c>
      <c r="D245" s="32" t="s">
        <v>21</v>
      </c>
      <c r="E245" s="32" t="s">
        <v>22</v>
      </c>
      <c r="F245" s="46" t="s">
        <v>33</v>
      </c>
      <c r="G245" s="32" t="s">
        <v>34</v>
      </c>
      <c r="H245" s="32" t="s">
        <v>1365</v>
      </c>
      <c r="I245" s="34">
        <v>9</v>
      </c>
      <c r="J245" s="32" t="s">
        <v>27</v>
      </c>
      <c r="K245" s="32" t="s">
        <v>28</v>
      </c>
      <c r="L245" s="32" t="s">
        <v>29</v>
      </c>
      <c r="M245" s="32" t="s">
        <v>36</v>
      </c>
      <c r="N245" s="32" t="s">
        <v>665</v>
      </c>
    </row>
    <row r="246" spans="1:15" ht="15.75" customHeight="1" x14ac:dyDescent="0.25">
      <c r="A246" s="49">
        <v>2004</v>
      </c>
      <c r="B246" s="32" t="s">
        <v>19</v>
      </c>
      <c r="C246" s="32" t="s">
        <v>667</v>
      </c>
      <c r="D246" s="32" t="s">
        <v>668</v>
      </c>
      <c r="E246" s="32" t="s">
        <v>125</v>
      </c>
      <c r="F246" s="46" t="s">
        <v>669</v>
      </c>
      <c r="G246" s="32" t="s">
        <v>670</v>
      </c>
      <c r="H246" s="32" t="s">
        <v>1468</v>
      </c>
      <c r="I246" s="34">
        <v>10</v>
      </c>
      <c r="J246" s="32" t="s">
        <v>673</v>
      </c>
      <c r="K246" s="32" t="s">
        <v>28</v>
      </c>
      <c r="L246" s="32" t="s">
        <v>131</v>
      </c>
      <c r="M246" s="32" t="s">
        <v>674</v>
      </c>
      <c r="N246" s="32" t="s">
        <v>675</v>
      </c>
    </row>
    <row r="247" spans="1:15" ht="15.75" customHeight="1" x14ac:dyDescent="0.25">
      <c r="A247" s="49">
        <v>4534</v>
      </c>
      <c r="B247" s="32" t="s">
        <v>19</v>
      </c>
      <c r="C247" s="32" t="s">
        <v>20</v>
      </c>
      <c r="D247" s="32" t="s">
        <v>21</v>
      </c>
      <c r="E247" s="32" t="s">
        <v>22</v>
      </c>
      <c r="F247" s="46" t="s">
        <v>61</v>
      </c>
      <c r="G247" s="32" t="s">
        <v>263</v>
      </c>
      <c r="H247" s="32" t="s">
        <v>1404</v>
      </c>
      <c r="I247" s="34">
        <v>9</v>
      </c>
      <c r="J247" s="32" t="s">
        <v>27</v>
      </c>
      <c r="K247" s="32" t="s">
        <v>28</v>
      </c>
      <c r="L247" s="32" t="s">
        <v>29</v>
      </c>
      <c r="M247" s="32" t="s">
        <v>65</v>
      </c>
      <c r="N247" s="32" t="s">
        <v>676</v>
      </c>
    </row>
    <row r="248" spans="1:15" ht="15.75" customHeight="1" x14ac:dyDescent="0.25">
      <c r="A248" s="49">
        <v>4330</v>
      </c>
      <c r="B248" s="32" t="s">
        <v>19</v>
      </c>
      <c r="C248" s="32" t="s">
        <v>20</v>
      </c>
      <c r="D248" s="32" t="s">
        <v>21</v>
      </c>
      <c r="E248" s="32" t="s">
        <v>22</v>
      </c>
      <c r="F248" s="46" t="s">
        <v>145</v>
      </c>
      <c r="G248" s="32" t="s">
        <v>146</v>
      </c>
      <c r="H248" s="32" t="s">
        <v>1383</v>
      </c>
      <c r="I248" s="34">
        <v>9</v>
      </c>
      <c r="J248" s="32" t="s">
        <v>27</v>
      </c>
      <c r="K248" s="32" t="s">
        <v>28</v>
      </c>
      <c r="L248" s="32" t="s">
        <v>29</v>
      </c>
      <c r="M248" s="32" t="s">
        <v>148</v>
      </c>
      <c r="N248" s="32" t="s">
        <v>677</v>
      </c>
    </row>
    <row r="249" spans="1:15" ht="15.75" customHeight="1" x14ac:dyDescent="0.25">
      <c r="A249" s="50">
        <v>735.43</v>
      </c>
      <c r="B249" s="36" t="s">
        <v>19</v>
      </c>
      <c r="C249" s="36" t="s">
        <v>123</v>
      </c>
      <c r="D249" s="36" t="s">
        <v>124</v>
      </c>
      <c r="E249" s="36" t="s">
        <v>125</v>
      </c>
      <c r="F249" s="47" t="s">
        <v>135</v>
      </c>
      <c r="G249" s="36" t="s">
        <v>354</v>
      </c>
      <c r="H249" s="36" t="s">
        <v>1420</v>
      </c>
      <c r="I249" s="34">
        <v>11</v>
      </c>
      <c r="J249" s="36" t="s">
        <v>130</v>
      </c>
      <c r="K249" s="36" t="s">
        <v>28</v>
      </c>
      <c r="L249" s="36" t="s">
        <v>131</v>
      </c>
      <c r="M249" s="36" t="s">
        <v>138</v>
      </c>
      <c r="N249" s="36" t="s">
        <v>678</v>
      </c>
      <c r="O249"/>
    </row>
    <row r="250" spans="1:15" ht="15.75" customHeight="1" x14ac:dyDescent="0.25">
      <c r="A250" s="49">
        <v>2828</v>
      </c>
      <c r="B250" s="32" t="s">
        <v>19</v>
      </c>
      <c r="C250" s="32" t="s">
        <v>20</v>
      </c>
      <c r="D250" s="32" t="s">
        <v>21</v>
      </c>
      <c r="E250" s="32" t="s">
        <v>22</v>
      </c>
      <c r="F250" s="46" t="s">
        <v>75</v>
      </c>
      <c r="G250" s="32" t="s">
        <v>610</v>
      </c>
      <c r="H250" s="32" t="s">
        <v>1461</v>
      </c>
      <c r="I250" s="34">
        <v>9</v>
      </c>
      <c r="J250" s="32" t="s">
        <v>27</v>
      </c>
      <c r="K250" s="32" t="s">
        <v>28</v>
      </c>
      <c r="L250" s="32" t="s">
        <v>29</v>
      </c>
      <c r="M250" s="32" t="s">
        <v>78</v>
      </c>
      <c r="N250" s="32" t="s">
        <v>679</v>
      </c>
    </row>
    <row r="251" spans="1:15" ht="15.75" customHeight="1" x14ac:dyDescent="0.25">
      <c r="A251" s="49">
        <v>2828</v>
      </c>
      <c r="B251" s="32" t="s">
        <v>19</v>
      </c>
      <c r="C251" s="32" t="s">
        <v>20</v>
      </c>
      <c r="D251" s="32" t="s">
        <v>21</v>
      </c>
      <c r="E251" s="32" t="s">
        <v>22</v>
      </c>
      <c r="F251" s="46" t="s">
        <v>75</v>
      </c>
      <c r="G251" s="32" t="s">
        <v>399</v>
      </c>
      <c r="H251" s="32" t="s">
        <v>1428</v>
      </c>
      <c r="I251" s="34">
        <v>9</v>
      </c>
      <c r="J251" s="32" t="s">
        <v>27</v>
      </c>
      <c r="K251" s="32" t="s">
        <v>28</v>
      </c>
      <c r="L251" s="32" t="s">
        <v>29</v>
      </c>
      <c r="M251" s="32" t="s">
        <v>78</v>
      </c>
      <c r="N251" s="32" t="s">
        <v>680</v>
      </c>
    </row>
    <row r="252" spans="1:15" ht="15.75" customHeight="1" x14ac:dyDescent="0.25">
      <c r="A252" s="49">
        <v>4423</v>
      </c>
      <c r="B252" s="32" t="s">
        <v>19</v>
      </c>
      <c r="C252" s="32" t="s">
        <v>20</v>
      </c>
      <c r="D252" s="32" t="s">
        <v>21</v>
      </c>
      <c r="E252" s="32" t="s">
        <v>22</v>
      </c>
      <c r="F252" s="46" t="s">
        <v>682</v>
      </c>
      <c r="G252" s="32" t="s">
        <v>683</v>
      </c>
      <c r="H252" s="32" t="s">
        <v>1469</v>
      </c>
      <c r="I252" s="34">
        <v>9</v>
      </c>
      <c r="J252" s="32" t="s">
        <v>27</v>
      </c>
      <c r="K252" s="32" t="s">
        <v>28</v>
      </c>
      <c r="L252" s="32" t="s">
        <v>29</v>
      </c>
      <c r="M252" s="32" t="s">
        <v>685</v>
      </c>
      <c r="N252" s="32" t="s">
        <v>686</v>
      </c>
    </row>
    <row r="253" spans="1:15" ht="15.75" customHeight="1" x14ac:dyDescent="0.25">
      <c r="A253" s="49">
        <v>2783.5</v>
      </c>
      <c r="B253" s="32" t="s">
        <v>19</v>
      </c>
      <c r="C253" s="32" t="s">
        <v>20</v>
      </c>
      <c r="D253" s="32" t="s">
        <v>21</v>
      </c>
      <c r="E253" s="32" t="s">
        <v>22</v>
      </c>
      <c r="F253" s="46" t="s">
        <v>152</v>
      </c>
      <c r="G253" s="32" t="s">
        <v>590</v>
      </c>
      <c r="H253" s="32" t="s">
        <v>1458</v>
      </c>
      <c r="I253" s="34">
        <v>9</v>
      </c>
      <c r="J253" s="32" t="s">
        <v>27</v>
      </c>
      <c r="K253" s="32" t="s">
        <v>28</v>
      </c>
      <c r="L253" s="32" t="s">
        <v>29</v>
      </c>
      <c r="M253" s="32" t="s">
        <v>155</v>
      </c>
      <c r="N253" s="32" t="s">
        <v>687</v>
      </c>
    </row>
    <row r="254" spans="1:15" ht="15.75" customHeight="1" x14ac:dyDescent="0.25">
      <c r="A254" s="49">
        <v>5317</v>
      </c>
      <c r="B254" s="32" t="s">
        <v>19</v>
      </c>
      <c r="C254" s="32" t="s">
        <v>20</v>
      </c>
      <c r="D254" s="32" t="s">
        <v>21</v>
      </c>
      <c r="E254" s="32" t="s">
        <v>22</v>
      </c>
      <c r="F254" s="46" t="s">
        <v>167</v>
      </c>
      <c r="G254" s="32" t="s">
        <v>688</v>
      </c>
      <c r="H254" s="32" t="s">
        <v>1470</v>
      </c>
      <c r="I254" s="34">
        <v>9</v>
      </c>
      <c r="J254" s="32" t="s">
        <v>27</v>
      </c>
      <c r="K254" s="32" t="s">
        <v>28</v>
      </c>
      <c r="L254" s="32" t="s">
        <v>29</v>
      </c>
      <c r="M254" s="32" t="s">
        <v>170</v>
      </c>
      <c r="N254" s="32" t="s">
        <v>690</v>
      </c>
    </row>
    <row r="255" spans="1:15" ht="15.75" customHeight="1" x14ac:dyDescent="0.25">
      <c r="A255" s="49">
        <v>5478</v>
      </c>
      <c r="B255" s="32" t="s">
        <v>19</v>
      </c>
      <c r="C255" s="32" t="s">
        <v>20</v>
      </c>
      <c r="D255" s="32" t="s">
        <v>21</v>
      </c>
      <c r="E255" s="32" t="s">
        <v>22</v>
      </c>
      <c r="F255" s="46" t="s">
        <v>167</v>
      </c>
      <c r="G255" s="32" t="s">
        <v>168</v>
      </c>
      <c r="H255" s="32" t="s">
        <v>1387</v>
      </c>
      <c r="I255" s="34">
        <v>9</v>
      </c>
      <c r="J255" s="32" t="s">
        <v>27</v>
      </c>
      <c r="K255" s="32" t="s">
        <v>28</v>
      </c>
      <c r="L255" s="32" t="s">
        <v>29</v>
      </c>
      <c r="M255" s="32" t="s">
        <v>170</v>
      </c>
      <c r="N255" s="32" t="s">
        <v>691</v>
      </c>
    </row>
    <row r="256" spans="1:15" ht="15.75" customHeight="1" x14ac:dyDescent="0.25">
      <c r="A256" s="49">
        <v>-237.79</v>
      </c>
      <c r="B256" s="32" t="s">
        <v>19</v>
      </c>
      <c r="C256" s="32" t="s">
        <v>20</v>
      </c>
      <c r="D256" s="32" t="s">
        <v>86</v>
      </c>
      <c r="E256" s="32" t="s">
        <v>22</v>
      </c>
      <c r="F256" s="46" t="s">
        <v>693</v>
      </c>
      <c r="G256" s="32" t="s">
        <v>694</v>
      </c>
      <c r="H256" s="32" t="s">
        <v>1471</v>
      </c>
      <c r="I256" s="34">
        <v>10</v>
      </c>
      <c r="J256" s="32" t="s">
        <v>89</v>
      </c>
      <c r="K256" s="32" t="s">
        <v>28</v>
      </c>
      <c r="L256" s="32" t="s">
        <v>29</v>
      </c>
      <c r="M256" s="32" t="s">
        <v>696</v>
      </c>
      <c r="N256" s="32" t="s">
        <v>697</v>
      </c>
    </row>
    <row r="257" spans="1:14" s="4" customFormat="1" ht="15.75" customHeight="1" x14ac:dyDescent="0.25">
      <c r="A257" s="49">
        <v>3166.5</v>
      </c>
      <c r="B257" s="32" t="s">
        <v>19</v>
      </c>
      <c r="C257" s="32" t="s">
        <v>20</v>
      </c>
      <c r="D257" s="32" t="s">
        <v>86</v>
      </c>
      <c r="E257" s="32" t="s">
        <v>22</v>
      </c>
      <c r="F257" s="46" t="s">
        <v>174</v>
      </c>
      <c r="G257" s="32" t="s">
        <v>175</v>
      </c>
      <c r="H257" s="32" t="s">
        <v>1388</v>
      </c>
      <c r="I257" s="34">
        <v>10</v>
      </c>
      <c r="J257" s="32" t="s">
        <v>89</v>
      </c>
      <c r="K257" s="32" t="s">
        <v>28</v>
      </c>
      <c r="L257" s="32" t="s">
        <v>29</v>
      </c>
      <c r="M257" s="32" t="s">
        <v>177</v>
      </c>
      <c r="N257" s="32" t="s">
        <v>698</v>
      </c>
    </row>
    <row r="258" spans="1:14" s="4" customFormat="1" ht="15.75" customHeight="1" x14ac:dyDescent="0.25">
      <c r="A258" s="49">
        <v>200.2</v>
      </c>
      <c r="B258" s="32" t="s">
        <v>19</v>
      </c>
      <c r="C258" s="32" t="s">
        <v>20</v>
      </c>
      <c r="D258" s="32" t="s">
        <v>86</v>
      </c>
      <c r="E258" s="32" t="s">
        <v>22</v>
      </c>
      <c r="F258" s="46" t="s">
        <v>186</v>
      </c>
      <c r="G258" s="32" t="s">
        <v>529</v>
      </c>
      <c r="H258" s="32" t="s">
        <v>1451</v>
      </c>
      <c r="I258" s="34">
        <v>10</v>
      </c>
      <c r="J258" s="32" t="s">
        <v>89</v>
      </c>
      <c r="K258" s="32" t="s">
        <v>28</v>
      </c>
      <c r="L258" s="32" t="s">
        <v>29</v>
      </c>
      <c r="M258" s="32" t="s">
        <v>190</v>
      </c>
      <c r="N258" s="32" t="s">
        <v>700</v>
      </c>
    </row>
    <row r="259" spans="1:14" s="4" customFormat="1" ht="15.75" customHeight="1" x14ac:dyDescent="0.25">
      <c r="A259" s="49">
        <v>3467</v>
      </c>
      <c r="B259" s="32" t="s">
        <v>19</v>
      </c>
      <c r="C259" s="32" t="s">
        <v>20</v>
      </c>
      <c r="D259" s="32" t="s">
        <v>21</v>
      </c>
      <c r="E259" s="32" t="s">
        <v>22</v>
      </c>
      <c r="F259" s="46" t="s">
        <v>223</v>
      </c>
      <c r="G259" s="32" t="s">
        <v>538</v>
      </c>
      <c r="H259" s="32" t="s">
        <v>1453</v>
      </c>
      <c r="I259" s="34">
        <v>10</v>
      </c>
      <c r="J259" s="32" t="s">
        <v>27</v>
      </c>
      <c r="K259" s="32" t="s">
        <v>28</v>
      </c>
      <c r="L259" s="32" t="s">
        <v>29</v>
      </c>
      <c r="M259" s="32" t="s">
        <v>226</v>
      </c>
      <c r="N259" s="32" t="s">
        <v>701</v>
      </c>
    </row>
    <row r="260" spans="1:14" s="4" customFormat="1" ht="15.75" customHeight="1" x14ac:dyDescent="0.25">
      <c r="A260" s="49">
        <v>4541.5</v>
      </c>
      <c r="B260" s="32" t="s">
        <v>19</v>
      </c>
      <c r="C260" s="32" t="s">
        <v>20</v>
      </c>
      <c r="D260" s="32" t="s">
        <v>21</v>
      </c>
      <c r="E260" s="32" t="s">
        <v>22</v>
      </c>
      <c r="F260" s="46" t="s">
        <v>75</v>
      </c>
      <c r="G260" s="32" t="s">
        <v>340</v>
      </c>
      <c r="H260" s="32" t="s">
        <v>1417</v>
      </c>
      <c r="I260" s="34">
        <v>10</v>
      </c>
      <c r="J260" s="32" t="s">
        <v>27</v>
      </c>
      <c r="K260" s="32" t="s">
        <v>28</v>
      </c>
      <c r="L260" s="32" t="s">
        <v>29</v>
      </c>
      <c r="M260" s="32" t="s">
        <v>78</v>
      </c>
      <c r="N260" s="32" t="s">
        <v>702</v>
      </c>
    </row>
    <row r="261" spans="1:14" s="4" customFormat="1" ht="15.75" customHeight="1" x14ac:dyDescent="0.25">
      <c r="A261" s="49">
        <v>4423</v>
      </c>
      <c r="B261" s="32" t="s">
        <v>19</v>
      </c>
      <c r="C261" s="32" t="s">
        <v>20</v>
      </c>
      <c r="D261" s="32" t="s">
        <v>21</v>
      </c>
      <c r="E261" s="32" t="s">
        <v>22</v>
      </c>
      <c r="F261" s="46" t="s">
        <v>682</v>
      </c>
      <c r="G261" s="32" t="s">
        <v>683</v>
      </c>
      <c r="H261" s="32" t="s">
        <v>1469</v>
      </c>
      <c r="I261" s="34">
        <v>10</v>
      </c>
      <c r="J261" s="32" t="s">
        <v>27</v>
      </c>
      <c r="K261" s="32" t="s">
        <v>28</v>
      </c>
      <c r="L261" s="32" t="s">
        <v>29</v>
      </c>
      <c r="M261" s="32" t="s">
        <v>685</v>
      </c>
      <c r="N261" s="32" t="s">
        <v>703</v>
      </c>
    </row>
    <row r="262" spans="1:14" s="4" customFormat="1" ht="15.75" customHeight="1" x14ac:dyDescent="0.25">
      <c r="A262" s="49">
        <v>4444.5</v>
      </c>
      <c r="B262" s="32" t="s">
        <v>19</v>
      </c>
      <c r="C262" s="32" t="s">
        <v>20</v>
      </c>
      <c r="D262" s="32" t="s">
        <v>21</v>
      </c>
      <c r="E262" s="32" t="s">
        <v>22</v>
      </c>
      <c r="F262" s="46" t="s">
        <v>314</v>
      </c>
      <c r="G262" s="32" t="s">
        <v>455</v>
      </c>
      <c r="H262" s="32" t="s">
        <v>1438</v>
      </c>
      <c r="I262" s="34">
        <v>10</v>
      </c>
      <c r="J262" s="32" t="s">
        <v>27</v>
      </c>
      <c r="K262" s="32" t="s">
        <v>28</v>
      </c>
      <c r="L262" s="32" t="s">
        <v>29</v>
      </c>
      <c r="M262" s="32" t="s">
        <v>317</v>
      </c>
      <c r="N262" s="32" t="s">
        <v>704</v>
      </c>
    </row>
    <row r="263" spans="1:14" s="4" customFormat="1" ht="15.75" customHeight="1" x14ac:dyDescent="0.25">
      <c r="A263" s="49">
        <v>4579.5</v>
      </c>
      <c r="B263" s="32" t="s">
        <v>19</v>
      </c>
      <c r="C263" s="32" t="s">
        <v>20</v>
      </c>
      <c r="D263" s="32" t="s">
        <v>86</v>
      </c>
      <c r="E263" s="32" t="s">
        <v>22</v>
      </c>
      <c r="F263" s="46" t="s">
        <v>501</v>
      </c>
      <c r="G263" s="32" t="s">
        <v>502</v>
      </c>
      <c r="H263" s="32" t="s">
        <v>1446</v>
      </c>
      <c r="I263" s="34">
        <v>11</v>
      </c>
      <c r="J263" s="32" t="s">
        <v>89</v>
      </c>
      <c r="K263" s="32" t="s">
        <v>28</v>
      </c>
      <c r="L263" s="32" t="s">
        <v>29</v>
      </c>
      <c r="M263" s="32" t="s">
        <v>504</v>
      </c>
      <c r="N263" s="32" t="s">
        <v>705</v>
      </c>
    </row>
    <row r="264" spans="1:14" s="4" customFormat="1" ht="15.75" customHeight="1" x14ac:dyDescent="0.25">
      <c r="A264" s="49">
        <v>5047.5</v>
      </c>
      <c r="B264" s="32" t="s">
        <v>19</v>
      </c>
      <c r="C264" s="32" t="s">
        <v>123</v>
      </c>
      <c r="D264" s="32" t="s">
        <v>124</v>
      </c>
      <c r="E264" s="32" t="s">
        <v>22</v>
      </c>
      <c r="F264" s="46" t="s">
        <v>707</v>
      </c>
      <c r="G264" s="32" t="s">
        <v>708</v>
      </c>
      <c r="H264" s="32" t="s">
        <v>1472</v>
      </c>
      <c r="I264" s="34">
        <v>19</v>
      </c>
      <c r="J264" s="32" t="s">
        <v>130</v>
      </c>
      <c r="K264" s="32" t="s">
        <v>28</v>
      </c>
      <c r="L264" s="32" t="s">
        <v>29</v>
      </c>
      <c r="M264" s="32" t="s">
        <v>710</v>
      </c>
      <c r="N264" s="32" t="s">
        <v>711</v>
      </c>
    </row>
    <row r="265" spans="1:14" s="4" customFormat="1" ht="15.75" customHeight="1" x14ac:dyDescent="0.25">
      <c r="A265" s="49">
        <v>4665.25</v>
      </c>
      <c r="B265" s="32" t="s">
        <v>19</v>
      </c>
      <c r="C265" s="32" t="s">
        <v>123</v>
      </c>
      <c r="D265" s="32" t="s">
        <v>124</v>
      </c>
      <c r="E265" s="32" t="s">
        <v>22</v>
      </c>
      <c r="F265" s="46" t="s">
        <v>135</v>
      </c>
      <c r="G265" s="32" t="s">
        <v>713</v>
      </c>
      <c r="H265" s="32" t="s">
        <v>1473</v>
      </c>
      <c r="I265" s="34">
        <v>18</v>
      </c>
      <c r="J265" s="32" t="s">
        <v>130</v>
      </c>
      <c r="K265" s="32" t="s">
        <v>28</v>
      </c>
      <c r="L265" s="32" t="s">
        <v>29</v>
      </c>
      <c r="M265" s="32" t="s">
        <v>138</v>
      </c>
      <c r="N265" s="32" t="s">
        <v>715</v>
      </c>
    </row>
    <row r="266" spans="1:14" s="4" customFormat="1" ht="15.75" customHeight="1" x14ac:dyDescent="0.25">
      <c r="A266" s="49">
        <v>4571</v>
      </c>
      <c r="B266" s="32" t="s">
        <v>19</v>
      </c>
      <c r="C266" s="32" t="s">
        <v>123</v>
      </c>
      <c r="D266" s="32" t="s">
        <v>124</v>
      </c>
      <c r="E266" s="32" t="s">
        <v>22</v>
      </c>
      <c r="F266" s="46" t="s">
        <v>707</v>
      </c>
      <c r="G266" s="32" t="s">
        <v>717</v>
      </c>
      <c r="H266" s="32" t="s">
        <v>1474</v>
      </c>
      <c r="I266" s="34">
        <v>16</v>
      </c>
      <c r="J266" s="32" t="s">
        <v>130</v>
      </c>
      <c r="K266" s="32" t="s">
        <v>28</v>
      </c>
      <c r="L266" s="32" t="s">
        <v>29</v>
      </c>
      <c r="M266" s="32" t="s">
        <v>710</v>
      </c>
      <c r="N266" s="32" t="s">
        <v>719</v>
      </c>
    </row>
    <row r="267" spans="1:14" s="4" customFormat="1" ht="15.75" customHeight="1" x14ac:dyDescent="0.25">
      <c r="A267" s="49">
        <v>650</v>
      </c>
      <c r="B267" s="32" t="s">
        <v>19</v>
      </c>
      <c r="C267" s="32" t="s">
        <v>123</v>
      </c>
      <c r="D267" s="32" t="s">
        <v>124</v>
      </c>
      <c r="E267" s="32" t="s">
        <v>721</v>
      </c>
      <c r="F267" s="46" t="s">
        <v>707</v>
      </c>
      <c r="G267" s="32" t="s">
        <v>722</v>
      </c>
      <c r="H267" s="32" t="s">
        <v>1475</v>
      </c>
      <c r="I267" s="34">
        <v>22</v>
      </c>
      <c r="J267" s="32" t="s">
        <v>130</v>
      </c>
      <c r="K267" s="32" t="s">
        <v>28</v>
      </c>
      <c r="L267" s="32" t="s">
        <v>725</v>
      </c>
      <c r="M267" s="32" t="s">
        <v>710</v>
      </c>
      <c r="N267" s="32" t="s">
        <v>726</v>
      </c>
    </row>
    <row r="268" spans="1:14" s="4" customFormat="1" ht="15.75" customHeight="1" x14ac:dyDescent="0.25">
      <c r="A268" s="49">
        <v>3521.75</v>
      </c>
      <c r="B268" s="32" t="s">
        <v>19</v>
      </c>
      <c r="C268" s="32" t="s">
        <v>123</v>
      </c>
      <c r="D268" s="32" t="s">
        <v>124</v>
      </c>
      <c r="E268" s="32" t="s">
        <v>22</v>
      </c>
      <c r="F268" s="46" t="s">
        <v>135</v>
      </c>
      <c r="G268" s="32" t="s">
        <v>728</v>
      </c>
      <c r="H268" s="32" t="s">
        <v>1476</v>
      </c>
      <c r="I268" s="34">
        <v>22</v>
      </c>
      <c r="J268" s="32" t="s">
        <v>130</v>
      </c>
      <c r="K268" s="32" t="s">
        <v>28</v>
      </c>
      <c r="L268" s="32" t="s">
        <v>29</v>
      </c>
      <c r="M268" s="32" t="s">
        <v>138</v>
      </c>
      <c r="N268" s="32" t="s">
        <v>730</v>
      </c>
    </row>
    <row r="269" spans="1:14" s="4" customFormat="1" ht="15.75" customHeight="1" x14ac:dyDescent="0.25">
      <c r="A269" s="49">
        <v>235.8</v>
      </c>
      <c r="B269" s="32" t="s">
        <v>733</v>
      </c>
      <c r="C269" s="32" t="s">
        <v>734</v>
      </c>
      <c r="D269" s="32" t="s">
        <v>735</v>
      </c>
      <c r="E269" s="32" t="s">
        <v>125</v>
      </c>
      <c r="F269" s="46" t="s">
        <v>736</v>
      </c>
      <c r="G269" s="32" t="s">
        <v>737</v>
      </c>
      <c r="H269" s="32" t="s">
        <v>1477</v>
      </c>
      <c r="I269" s="34">
        <v>5</v>
      </c>
      <c r="J269" s="32" t="s">
        <v>739</v>
      </c>
      <c r="K269" s="32" t="s">
        <v>740</v>
      </c>
      <c r="L269" s="32" t="s">
        <v>131</v>
      </c>
      <c r="M269" s="32" t="s">
        <v>741</v>
      </c>
      <c r="N269" s="32" t="s">
        <v>742</v>
      </c>
    </row>
    <row r="270" spans="1:14" s="4" customFormat="1" ht="15.75" customHeight="1" x14ac:dyDescent="0.25">
      <c r="A270" s="49">
        <v>3304.8</v>
      </c>
      <c r="B270" s="32" t="s">
        <v>745</v>
      </c>
      <c r="C270" s="32" t="s">
        <v>734</v>
      </c>
      <c r="D270" s="32" t="s">
        <v>746</v>
      </c>
      <c r="E270" s="32" t="s">
        <v>22</v>
      </c>
      <c r="F270" s="46" t="s">
        <v>747</v>
      </c>
      <c r="G270" s="32" t="s">
        <v>748</v>
      </c>
      <c r="H270" s="32" t="s">
        <v>1478</v>
      </c>
      <c r="I270" s="34">
        <v>4</v>
      </c>
      <c r="J270" s="32" t="s">
        <v>750</v>
      </c>
      <c r="K270" s="32" t="s">
        <v>751</v>
      </c>
      <c r="L270" s="32" t="s">
        <v>29</v>
      </c>
      <c r="M270" s="32" t="s">
        <v>752</v>
      </c>
      <c r="N270" s="32" t="s">
        <v>753</v>
      </c>
    </row>
    <row r="271" spans="1:14" s="4" customFormat="1" ht="15.75" customHeight="1" x14ac:dyDescent="0.25">
      <c r="A271" s="49">
        <v>1036.3599999999999</v>
      </c>
      <c r="B271" s="32" t="s">
        <v>755</v>
      </c>
      <c r="C271" s="32" t="s">
        <v>756</v>
      </c>
      <c r="D271" s="32" t="s">
        <v>757</v>
      </c>
      <c r="E271" s="32" t="s">
        <v>22</v>
      </c>
      <c r="F271" s="46" t="s">
        <v>758</v>
      </c>
      <c r="G271" s="32" t="s">
        <v>759</v>
      </c>
      <c r="H271" s="32" t="s">
        <v>1479</v>
      </c>
      <c r="I271" s="34">
        <v>13</v>
      </c>
      <c r="J271" s="32" t="s">
        <v>761</v>
      </c>
      <c r="K271" s="32" t="s">
        <v>762</v>
      </c>
      <c r="L271" s="32" t="s">
        <v>29</v>
      </c>
      <c r="M271" s="32" t="s">
        <v>763</v>
      </c>
      <c r="N271" s="32" t="s">
        <v>764</v>
      </c>
    </row>
    <row r="272" spans="1:14" s="4" customFormat="1" ht="15.75" customHeight="1" x14ac:dyDescent="0.25">
      <c r="A272" s="49">
        <v>769.44</v>
      </c>
      <c r="B272" s="32" t="s">
        <v>767</v>
      </c>
      <c r="C272" s="32" t="s">
        <v>768</v>
      </c>
      <c r="D272" s="32" t="s">
        <v>769</v>
      </c>
      <c r="E272" s="32" t="s">
        <v>22</v>
      </c>
      <c r="F272" s="46" t="s">
        <v>770</v>
      </c>
      <c r="G272" s="32" t="s">
        <v>771</v>
      </c>
      <c r="H272" s="32" t="s">
        <v>1480</v>
      </c>
      <c r="I272" s="34">
        <v>6</v>
      </c>
      <c r="J272" s="32" t="s">
        <v>774</v>
      </c>
      <c r="K272" s="32" t="s">
        <v>775</v>
      </c>
      <c r="L272" s="32" t="s">
        <v>29</v>
      </c>
      <c r="M272" s="32" t="s">
        <v>776</v>
      </c>
      <c r="N272" s="32" t="s">
        <v>777</v>
      </c>
    </row>
    <row r="273" spans="1:14" s="4" customFormat="1" ht="15.75" customHeight="1" x14ac:dyDescent="0.25">
      <c r="A273" s="49">
        <v>180.08</v>
      </c>
      <c r="B273" s="32" t="s">
        <v>779</v>
      </c>
      <c r="C273" s="32" t="s">
        <v>756</v>
      </c>
      <c r="D273" s="32" t="s">
        <v>780</v>
      </c>
      <c r="E273" s="32" t="s">
        <v>22</v>
      </c>
      <c r="F273" s="46" t="s">
        <v>781</v>
      </c>
      <c r="G273" s="32" t="s">
        <v>782</v>
      </c>
      <c r="H273" s="32" t="s">
        <v>1481</v>
      </c>
      <c r="I273" s="34">
        <v>18</v>
      </c>
      <c r="J273" s="32" t="s">
        <v>784</v>
      </c>
      <c r="K273" s="32" t="s">
        <v>785</v>
      </c>
      <c r="L273" s="32" t="s">
        <v>29</v>
      </c>
      <c r="M273" s="32" t="s">
        <v>786</v>
      </c>
      <c r="N273" s="32" t="s">
        <v>787</v>
      </c>
    </row>
    <row r="274" spans="1:14" s="4" customFormat="1" ht="15.75" customHeight="1" x14ac:dyDescent="0.25">
      <c r="A274" s="49">
        <v>3932</v>
      </c>
      <c r="B274" s="32" t="s">
        <v>789</v>
      </c>
      <c r="C274" s="32" t="s">
        <v>123</v>
      </c>
      <c r="D274" s="32" t="s">
        <v>790</v>
      </c>
      <c r="E274" s="32" t="s">
        <v>22</v>
      </c>
      <c r="F274" s="46" t="s">
        <v>791</v>
      </c>
      <c r="G274" s="32" t="s">
        <v>792</v>
      </c>
      <c r="H274" s="32" t="s">
        <v>1482</v>
      </c>
      <c r="I274" s="34">
        <v>16</v>
      </c>
      <c r="J274" s="32" t="s">
        <v>794</v>
      </c>
      <c r="K274" s="32" t="s">
        <v>795</v>
      </c>
      <c r="L274" s="32" t="s">
        <v>29</v>
      </c>
      <c r="M274" s="32" t="s">
        <v>796</v>
      </c>
      <c r="N274" s="32" t="s">
        <v>797</v>
      </c>
    </row>
    <row r="275" spans="1:14" s="4" customFormat="1" ht="15.75" customHeight="1" x14ac:dyDescent="0.25">
      <c r="A275" s="49">
        <v>950</v>
      </c>
      <c r="B275" s="32" t="s">
        <v>19</v>
      </c>
      <c r="C275" s="32" t="s">
        <v>123</v>
      </c>
      <c r="D275" s="32" t="s">
        <v>274</v>
      </c>
      <c r="E275" s="32" t="s">
        <v>799</v>
      </c>
      <c r="F275" s="46" t="s">
        <v>800</v>
      </c>
      <c r="G275" s="32" t="s">
        <v>801</v>
      </c>
      <c r="H275" s="32" t="s">
        <v>1483</v>
      </c>
      <c r="I275" s="34">
        <v>1</v>
      </c>
      <c r="J275" s="32" t="s">
        <v>279</v>
      </c>
      <c r="K275" s="32" t="s">
        <v>28</v>
      </c>
      <c r="L275" s="32" t="s">
        <v>804</v>
      </c>
      <c r="M275" s="32" t="s">
        <v>805</v>
      </c>
      <c r="N275" s="32" t="s">
        <v>806</v>
      </c>
    </row>
    <row r="276" spans="1:14" s="4" customFormat="1" ht="15.75" customHeight="1" x14ac:dyDescent="0.25">
      <c r="A276" s="49">
        <v>628.22</v>
      </c>
      <c r="B276" s="32" t="s">
        <v>808</v>
      </c>
      <c r="C276" s="32" t="s">
        <v>734</v>
      </c>
      <c r="D276" s="32" t="s">
        <v>809</v>
      </c>
      <c r="E276" s="32" t="s">
        <v>125</v>
      </c>
      <c r="F276" s="46" t="s">
        <v>810</v>
      </c>
      <c r="G276" s="32" t="s">
        <v>811</v>
      </c>
      <c r="H276" s="32" t="s">
        <v>1484</v>
      </c>
      <c r="I276" s="34">
        <v>6</v>
      </c>
      <c r="J276" s="32" t="s">
        <v>813</v>
      </c>
      <c r="K276" s="32" t="s">
        <v>814</v>
      </c>
      <c r="L276" s="32" t="s">
        <v>131</v>
      </c>
      <c r="M276" s="32" t="s">
        <v>815</v>
      </c>
      <c r="N276" s="32" t="s">
        <v>816</v>
      </c>
    </row>
    <row r="277" spans="1:14" s="4" customFormat="1" ht="15.75" customHeight="1" x14ac:dyDescent="0.25">
      <c r="A277" s="49">
        <v>2090.25</v>
      </c>
      <c r="B277" s="32" t="s">
        <v>19</v>
      </c>
      <c r="C277" s="32" t="s">
        <v>123</v>
      </c>
      <c r="D277" s="32" t="s">
        <v>124</v>
      </c>
      <c r="E277" s="32" t="s">
        <v>818</v>
      </c>
      <c r="F277" s="46" t="s">
        <v>819</v>
      </c>
      <c r="G277" s="32" t="s">
        <v>820</v>
      </c>
      <c r="H277" s="32" t="s">
        <v>1485</v>
      </c>
      <c r="I277" s="34">
        <v>12</v>
      </c>
      <c r="J277" s="32" t="s">
        <v>130</v>
      </c>
      <c r="K277" s="32" t="s">
        <v>28</v>
      </c>
      <c r="L277" s="32" t="s">
        <v>823</v>
      </c>
      <c r="M277" s="32" t="s">
        <v>824</v>
      </c>
      <c r="N277" s="32" t="s">
        <v>825</v>
      </c>
    </row>
    <row r="278" spans="1:14" s="4" customFormat="1" ht="15.75" customHeight="1" x14ac:dyDescent="0.25">
      <c r="A278" s="49">
        <v>950</v>
      </c>
      <c r="B278" s="32" t="s">
        <v>19</v>
      </c>
      <c r="C278" s="32" t="s">
        <v>123</v>
      </c>
      <c r="D278" s="32" t="s">
        <v>124</v>
      </c>
      <c r="E278" s="32" t="s">
        <v>799</v>
      </c>
      <c r="F278" s="46" t="s">
        <v>135</v>
      </c>
      <c r="G278" s="32" t="s">
        <v>826</v>
      </c>
      <c r="H278" s="32" t="s">
        <v>1486</v>
      </c>
      <c r="I278" s="34">
        <v>18</v>
      </c>
      <c r="J278" s="32" t="s">
        <v>130</v>
      </c>
      <c r="K278" s="32" t="s">
        <v>28</v>
      </c>
      <c r="L278" s="32" t="s">
        <v>804</v>
      </c>
      <c r="M278" s="32" t="s">
        <v>138</v>
      </c>
      <c r="N278" s="32" t="s">
        <v>828</v>
      </c>
    </row>
    <row r="279" spans="1:14" s="4" customFormat="1" ht="15.75" customHeight="1" x14ac:dyDescent="0.25">
      <c r="A279" s="49">
        <v>187.2</v>
      </c>
      <c r="B279" s="32" t="s">
        <v>830</v>
      </c>
      <c r="C279" s="32" t="s">
        <v>734</v>
      </c>
      <c r="D279" s="32" t="s">
        <v>746</v>
      </c>
      <c r="E279" s="32" t="s">
        <v>125</v>
      </c>
      <c r="F279" s="46" t="s">
        <v>831</v>
      </c>
      <c r="G279" s="32" t="s">
        <v>832</v>
      </c>
      <c r="H279" s="32" t="s">
        <v>1487</v>
      </c>
      <c r="I279" s="34">
        <v>11</v>
      </c>
      <c r="J279" s="32" t="s">
        <v>750</v>
      </c>
      <c r="K279" s="32" t="s">
        <v>834</v>
      </c>
      <c r="L279" s="32" t="s">
        <v>131</v>
      </c>
      <c r="M279" s="32" t="s">
        <v>835</v>
      </c>
      <c r="N279" s="32" t="s">
        <v>836</v>
      </c>
    </row>
    <row r="280" spans="1:14" s="4" customFormat="1" ht="15.75" customHeight="1" x14ac:dyDescent="0.25">
      <c r="A280" s="49">
        <v>4903.75</v>
      </c>
      <c r="B280" s="32" t="s">
        <v>19</v>
      </c>
      <c r="C280" s="32" t="s">
        <v>123</v>
      </c>
      <c r="D280" s="32" t="s">
        <v>124</v>
      </c>
      <c r="E280" s="32" t="s">
        <v>22</v>
      </c>
      <c r="F280" s="46" t="s">
        <v>707</v>
      </c>
      <c r="G280" s="32" t="s">
        <v>838</v>
      </c>
      <c r="H280" s="32" t="s">
        <v>1488</v>
      </c>
      <c r="I280" s="34">
        <v>14</v>
      </c>
      <c r="J280" s="32" t="s">
        <v>130</v>
      </c>
      <c r="K280" s="32" t="s">
        <v>28</v>
      </c>
      <c r="L280" s="32" t="s">
        <v>29</v>
      </c>
      <c r="M280" s="32" t="s">
        <v>710</v>
      </c>
      <c r="N280" s="32" t="s">
        <v>840</v>
      </c>
    </row>
    <row r="281" spans="1:14" s="4" customFormat="1" ht="15.75" customHeight="1" x14ac:dyDescent="0.25">
      <c r="A281" s="49">
        <v>1318.8</v>
      </c>
      <c r="B281" s="32" t="s">
        <v>19</v>
      </c>
      <c r="C281" s="32" t="s">
        <v>734</v>
      </c>
      <c r="D281" s="32" t="s">
        <v>842</v>
      </c>
      <c r="E281" s="32" t="s">
        <v>22</v>
      </c>
      <c r="F281" s="46" t="s">
        <v>843</v>
      </c>
      <c r="G281" s="32" t="s">
        <v>844</v>
      </c>
      <c r="H281" s="32" t="s">
        <v>1489</v>
      </c>
      <c r="I281" s="34">
        <v>4</v>
      </c>
      <c r="J281" s="32" t="s">
        <v>846</v>
      </c>
      <c r="K281" s="32" t="s">
        <v>28</v>
      </c>
      <c r="L281" s="32" t="s">
        <v>29</v>
      </c>
      <c r="M281" s="32" t="s">
        <v>847</v>
      </c>
      <c r="N281" s="32" t="s">
        <v>848</v>
      </c>
    </row>
    <row r="282" spans="1:14" s="4" customFormat="1" ht="15.75" customHeight="1" x14ac:dyDescent="0.25">
      <c r="A282" s="49">
        <v>832.33</v>
      </c>
      <c r="B282" s="32" t="s">
        <v>850</v>
      </c>
      <c r="C282" s="32" t="s">
        <v>734</v>
      </c>
      <c r="D282" s="32" t="s">
        <v>735</v>
      </c>
      <c r="E282" s="32" t="s">
        <v>125</v>
      </c>
      <c r="F282" s="46" t="s">
        <v>851</v>
      </c>
      <c r="G282" s="32" t="s">
        <v>852</v>
      </c>
      <c r="H282" s="32" t="s">
        <v>1490</v>
      </c>
      <c r="I282" s="34">
        <v>5</v>
      </c>
      <c r="J282" s="32" t="s">
        <v>739</v>
      </c>
      <c r="K282" s="32" t="s">
        <v>854</v>
      </c>
      <c r="L282" s="32" t="s">
        <v>131</v>
      </c>
      <c r="M282" s="32" t="s">
        <v>855</v>
      </c>
      <c r="N282" s="32" t="s">
        <v>856</v>
      </c>
    </row>
    <row r="283" spans="1:14" s="4" customFormat="1" ht="15.75" customHeight="1" x14ac:dyDescent="0.25">
      <c r="A283" s="49">
        <v>950</v>
      </c>
      <c r="B283" s="32" t="s">
        <v>19</v>
      </c>
      <c r="C283" s="32" t="s">
        <v>123</v>
      </c>
      <c r="D283" s="32" t="s">
        <v>124</v>
      </c>
      <c r="E283" s="32" t="s">
        <v>799</v>
      </c>
      <c r="F283" s="46" t="s">
        <v>135</v>
      </c>
      <c r="G283" s="32" t="s">
        <v>857</v>
      </c>
      <c r="H283" s="32" t="s">
        <v>1491</v>
      </c>
      <c r="I283" s="34">
        <v>24</v>
      </c>
      <c r="J283" s="32" t="s">
        <v>130</v>
      </c>
      <c r="K283" s="32" t="s">
        <v>28</v>
      </c>
      <c r="L283" s="32" t="s">
        <v>804</v>
      </c>
      <c r="M283" s="32" t="s">
        <v>138</v>
      </c>
      <c r="N283" s="32" t="s">
        <v>859</v>
      </c>
    </row>
    <row r="284" spans="1:14" s="4" customFormat="1" ht="15.75" customHeight="1" x14ac:dyDescent="0.25">
      <c r="A284" s="49">
        <v>471</v>
      </c>
      <c r="B284" s="32" t="s">
        <v>19</v>
      </c>
      <c r="C284" s="32" t="s">
        <v>734</v>
      </c>
      <c r="D284" s="32" t="s">
        <v>842</v>
      </c>
      <c r="E284" s="32" t="s">
        <v>125</v>
      </c>
      <c r="F284" s="46" t="s">
        <v>843</v>
      </c>
      <c r="G284" s="32" t="s">
        <v>861</v>
      </c>
      <c r="H284" s="32" t="s">
        <v>1492</v>
      </c>
      <c r="I284" s="34">
        <v>4</v>
      </c>
      <c r="J284" s="32" t="s">
        <v>846</v>
      </c>
      <c r="K284" s="32" t="s">
        <v>28</v>
      </c>
      <c r="L284" s="32" t="s">
        <v>131</v>
      </c>
      <c r="M284" s="32" t="s">
        <v>847</v>
      </c>
      <c r="N284" s="32" t="s">
        <v>864</v>
      </c>
    </row>
    <row r="285" spans="1:14" s="4" customFormat="1" ht="15.75" customHeight="1" x14ac:dyDescent="0.25">
      <c r="A285" s="49">
        <v>96.53</v>
      </c>
      <c r="B285" s="32" t="s">
        <v>19</v>
      </c>
      <c r="C285" s="32" t="s">
        <v>123</v>
      </c>
      <c r="D285" s="32" t="s">
        <v>124</v>
      </c>
      <c r="E285" s="32" t="s">
        <v>125</v>
      </c>
      <c r="F285" s="46" t="s">
        <v>819</v>
      </c>
      <c r="G285" s="32" t="s">
        <v>866</v>
      </c>
      <c r="H285" s="32" t="s">
        <v>1493</v>
      </c>
      <c r="I285" s="34">
        <v>16</v>
      </c>
      <c r="J285" s="32" t="s">
        <v>130</v>
      </c>
      <c r="K285" s="32" t="s">
        <v>28</v>
      </c>
      <c r="L285" s="32" t="s">
        <v>131</v>
      </c>
      <c r="M285" s="32" t="s">
        <v>824</v>
      </c>
      <c r="N285" s="32" t="s">
        <v>868</v>
      </c>
    </row>
    <row r="286" spans="1:14" s="4" customFormat="1" ht="15.75" customHeight="1" x14ac:dyDescent="0.25">
      <c r="A286" s="49">
        <v>3857.28</v>
      </c>
      <c r="B286" s="32" t="s">
        <v>745</v>
      </c>
      <c r="C286" s="32" t="s">
        <v>734</v>
      </c>
      <c r="D286" s="32" t="s">
        <v>842</v>
      </c>
      <c r="E286" s="32" t="s">
        <v>22</v>
      </c>
      <c r="F286" s="46" t="s">
        <v>870</v>
      </c>
      <c r="G286" s="32" t="s">
        <v>871</v>
      </c>
      <c r="H286" s="32" t="s">
        <v>1494</v>
      </c>
      <c r="I286" s="34">
        <v>2</v>
      </c>
      <c r="J286" s="32" t="s">
        <v>846</v>
      </c>
      <c r="K286" s="32" t="s">
        <v>751</v>
      </c>
      <c r="L286" s="32" t="s">
        <v>29</v>
      </c>
      <c r="M286" s="32" t="s">
        <v>873</v>
      </c>
      <c r="N286" s="32" t="s">
        <v>874</v>
      </c>
    </row>
    <row r="287" spans="1:14" s="4" customFormat="1" ht="15.75" customHeight="1" x14ac:dyDescent="0.25">
      <c r="A287" s="49">
        <v>2090.25</v>
      </c>
      <c r="B287" s="32" t="s">
        <v>19</v>
      </c>
      <c r="C287" s="32" t="s">
        <v>123</v>
      </c>
      <c r="D287" s="32" t="s">
        <v>124</v>
      </c>
      <c r="E287" s="32" t="s">
        <v>818</v>
      </c>
      <c r="F287" s="46" t="s">
        <v>819</v>
      </c>
      <c r="G287" s="32" t="s">
        <v>875</v>
      </c>
      <c r="H287" s="32" t="s">
        <v>1495</v>
      </c>
      <c r="I287" s="34">
        <v>24</v>
      </c>
      <c r="J287" s="32" t="s">
        <v>130</v>
      </c>
      <c r="K287" s="32" t="s">
        <v>28</v>
      </c>
      <c r="L287" s="32" t="s">
        <v>823</v>
      </c>
      <c r="M287" s="32" t="s">
        <v>824</v>
      </c>
      <c r="N287" s="32" t="s">
        <v>877</v>
      </c>
    </row>
    <row r="288" spans="1:14" s="4" customFormat="1" ht="15.75" customHeight="1" x14ac:dyDescent="0.25">
      <c r="A288" s="49">
        <v>423.93</v>
      </c>
      <c r="B288" s="32" t="s">
        <v>19</v>
      </c>
      <c r="C288" s="32" t="s">
        <v>123</v>
      </c>
      <c r="D288" s="32" t="s">
        <v>124</v>
      </c>
      <c r="E288" s="32" t="s">
        <v>125</v>
      </c>
      <c r="F288" s="46" t="s">
        <v>135</v>
      </c>
      <c r="G288" s="35" t="s">
        <v>879</v>
      </c>
      <c r="H288" s="32" t="s">
        <v>1496</v>
      </c>
      <c r="I288" s="34">
        <v>3</v>
      </c>
      <c r="J288" s="32" t="s">
        <v>130</v>
      </c>
      <c r="K288" s="32" t="s">
        <v>28</v>
      </c>
      <c r="L288" s="32" t="s">
        <v>131</v>
      </c>
      <c r="M288" s="32" t="s">
        <v>138</v>
      </c>
      <c r="N288" s="35" t="s">
        <v>881</v>
      </c>
    </row>
    <row r="289" spans="1:14" s="4" customFormat="1" ht="15.75" customHeight="1" x14ac:dyDescent="0.25">
      <c r="A289" s="49">
        <v>3437.5</v>
      </c>
      <c r="B289" s="32" t="s">
        <v>19</v>
      </c>
      <c r="C289" s="32" t="s">
        <v>734</v>
      </c>
      <c r="D289" s="32" t="s">
        <v>746</v>
      </c>
      <c r="E289" s="32" t="s">
        <v>22</v>
      </c>
      <c r="F289" s="46" t="s">
        <v>883</v>
      </c>
      <c r="G289" s="32" t="s">
        <v>884</v>
      </c>
      <c r="H289" s="32" t="s">
        <v>1497</v>
      </c>
      <c r="I289" s="34">
        <v>16</v>
      </c>
      <c r="J289" s="32" t="s">
        <v>750</v>
      </c>
      <c r="K289" s="32" t="s">
        <v>28</v>
      </c>
      <c r="L289" s="32" t="s">
        <v>29</v>
      </c>
      <c r="M289" s="32" t="s">
        <v>886</v>
      </c>
      <c r="N289" s="32" t="s">
        <v>887</v>
      </c>
    </row>
    <row r="290" spans="1:14" s="4" customFormat="1" ht="15.75" customHeight="1" x14ac:dyDescent="0.25">
      <c r="A290" s="49">
        <v>207.21</v>
      </c>
      <c r="B290" s="32" t="s">
        <v>19</v>
      </c>
      <c r="C290" s="32" t="s">
        <v>123</v>
      </c>
      <c r="D290" s="32" t="s">
        <v>124</v>
      </c>
      <c r="E290" s="32" t="s">
        <v>889</v>
      </c>
      <c r="F290" s="46" t="s">
        <v>135</v>
      </c>
      <c r="G290" s="32" t="s">
        <v>890</v>
      </c>
      <c r="H290" s="32" t="s">
        <v>1498</v>
      </c>
      <c r="I290" s="34">
        <v>3</v>
      </c>
      <c r="J290" s="32" t="s">
        <v>130</v>
      </c>
      <c r="K290" s="32" t="s">
        <v>28</v>
      </c>
      <c r="L290" s="32" t="s">
        <v>893</v>
      </c>
      <c r="M290" s="32" t="s">
        <v>138</v>
      </c>
      <c r="N290" s="32" t="s">
        <v>894</v>
      </c>
    </row>
    <row r="291" spans="1:14" s="4" customFormat="1" ht="15.75" customHeight="1" x14ac:dyDescent="0.25">
      <c r="A291" s="49">
        <v>275.39999999999998</v>
      </c>
      <c r="B291" s="32" t="s">
        <v>745</v>
      </c>
      <c r="C291" s="32" t="s">
        <v>734</v>
      </c>
      <c r="D291" s="32" t="s">
        <v>746</v>
      </c>
      <c r="E291" s="32" t="s">
        <v>125</v>
      </c>
      <c r="F291" s="46" t="s">
        <v>747</v>
      </c>
      <c r="G291" s="32" t="s">
        <v>896</v>
      </c>
      <c r="H291" s="32" t="s">
        <v>1499</v>
      </c>
      <c r="I291" s="34">
        <v>7</v>
      </c>
      <c r="J291" s="32" t="s">
        <v>750</v>
      </c>
      <c r="K291" s="32" t="s">
        <v>751</v>
      </c>
      <c r="L291" s="32" t="s">
        <v>131</v>
      </c>
      <c r="M291" s="32" t="s">
        <v>752</v>
      </c>
      <c r="N291" s="32" t="s">
        <v>898</v>
      </c>
    </row>
    <row r="292" spans="1:14" s="4" customFormat="1" ht="15.75" customHeight="1" x14ac:dyDescent="0.25">
      <c r="A292" s="49">
        <v>56.16</v>
      </c>
      <c r="B292" s="32" t="s">
        <v>850</v>
      </c>
      <c r="C292" s="32" t="s">
        <v>123</v>
      </c>
      <c r="D292" s="32" t="s">
        <v>274</v>
      </c>
      <c r="E292" s="32" t="s">
        <v>900</v>
      </c>
      <c r="F292" s="46" t="s">
        <v>275</v>
      </c>
      <c r="G292" s="32" t="s">
        <v>901</v>
      </c>
      <c r="H292" s="32" t="s">
        <v>1500</v>
      </c>
      <c r="I292" s="34">
        <v>7</v>
      </c>
      <c r="J292" s="32" t="s">
        <v>279</v>
      </c>
      <c r="K292" s="32" t="s">
        <v>854</v>
      </c>
      <c r="L292" s="32" t="s">
        <v>904</v>
      </c>
      <c r="M292" s="32" t="s">
        <v>280</v>
      </c>
      <c r="N292" s="32" t="s">
        <v>905</v>
      </c>
    </row>
    <row r="293" spans="1:14" s="4" customFormat="1" ht="15.75" customHeight="1" x14ac:dyDescent="0.25">
      <c r="A293" s="49">
        <v>627.82000000000005</v>
      </c>
      <c r="B293" s="32" t="s">
        <v>19</v>
      </c>
      <c r="C293" s="32" t="s">
        <v>123</v>
      </c>
      <c r="D293" s="32" t="s">
        <v>124</v>
      </c>
      <c r="E293" s="32" t="s">
        <v>907</v>
      </c>
      <c r="F293" s="46" t="s">
        <v>135</v>
      </c>
      <c r="G293" s="32" t="s">
        <v>908</v>
      </c>
      <c r="H293" s="32" t="s">
        <v>1501</v>
      </c>
      <c r="I293" s="34">
        <v>21</v>
      </c>
      <c r="J293" s="32" t="s">
        <v>130</v>
      </c>
      <c r="K293" s="32" t="s">
        <v>28</v>
      </c>
      <c r="L293" s="32" t="s">
        <v>911</v>
      </c>
      <c r="M293" s="32" t="s">
        <v>138</v>
      </c>
      <c r="N293" s="32" t="s">
        <v>912</v>
      </c>
    </row>
    <row r="294" spans="1:14" s="4" customFormat="1" ht="15.75" customHeight="1" x14ac:dyDescent="0.25">
      <c r="A294" s="49">
        <v>350</v>
      </c>
      <c r="B294" s="32" t="s">
        <v>19</v>
      </c>
      <c r="C294" s="32" t="s">
        <v>123</v>
      </c>
      <c r="D294" s="32" t="s">
        <v>124</v>
      </c>
      <c r="E294" s="32" t="s">
        <v>914</v>
      </c>
      <c r="F294" s="46" t="s">
        <v>135</v>
      </c>
      <c r="G294" s="32" t="s">
        <v>915</v>
      </c>
      <c r="H294" s="32" t="s">
        <v>1502</v>
      </c>
      <c r="I294" s="34">
        <v>22</v>
      </c>
      <c r="J294" s="32" t="s">
        <v>130</v>
      </c>
      <c r="K294" s="32" t="s">
        <v>28</v>
      </c>
      <c r="L294" s="32" t="s">
        <v>918</v>
      </c>
      <c r="M294" s="32" t="s">
        <v>138</v>
      </c>
      <c r="N294" s="32" t="s">
        <v>919</v>
      </c>
    </row>
    <row r="295" spans="1:14" s="4" customFormat="1" ht="15.75" customHeight="1" x14ac:dyDescent="0.25">
      <c r="A295" s="49">
        <v>912.24</v>
      </c>
      <c r="B295" s="32" t="s">
        <v>19</v>
      </c>
      <c r="C295" s="32" t="s">
        <v>667</v>
      </c>
      <c r="D295" s="32" t="s">
        <v>668</v>
      </c>
      <c r="E295" s="32" t="s">
        <v>125</v>
      </c>
      <c r="F295" s="46" t="s">
        <v>921</v>
      </c>
      <c r="G295" s="32" t="s">
        <v>922</v>
      </c>
      <c r="H295" s="32" t="s">
        <v>1503</v>
      </c>
      <c r="I295" s="34">
        <v>17</v>
      </c>
      <c r="J295" s="32" t="s">
        <v>673</v>
      </c>
      <c r="K295" s="32" t="s">
        <v>28</v>
      </c>
      <c r="L295" s="32" t="s">
        <v>131</v>
      </c>
      <c r="M295" s="32" t="s">
        <v>924</v>
      </c>
      <c r="N295" s="32" t="s">
        <v>925</v>
      </c>
    </row>
    <row r="296" spans="1:14" s="4" customFormat="1" ht="15.75" customHeight="1" x14ac:dyDescent="0.25">
      <c r="A296" s="49">
        <v>4372.25</v>
      </c>
      <c r="B296" s="32" t="s">
        <v>19</v>
      </c>
      <c r="C296" s="32" t="s">
        <v>123</v>
      </c>
      <c r="D296" s="32" t="s">
        <v>124</v>
      </c>
      <c r="E296" s="32" t="s">
        <v>22</v>
      </c>
      <c r="F296" s="46" t="s">
        <v>135</v>
      </c>
      <c r="G296" s="32" t="s">
        <v>927</v>
      </c>
      <c r="H296" s="32" t="s">
        <v>1504</v>
      </c>
      <c r="I296" s="34">
        <v>17</v>
      </c>
      <c r="J296" s="32" t="s">
        <v>130</v>
      </c>
      <c r="K296" s="32" t="s">
        <v>28</v>
      </c>
      <c r="L296" s="32" t="s">
        <v>29</v>
      </c>
      <c r="M296" s="32" t="s">
        <v>138</v>
      </c>
      <c r="N296" s="32" t="s">
        <v>929</v>
      </c>
    </row>
    <row r="297" spans="1:14" s="4" customFormat="1" ht="15.75" customHeight="1" x14ac:dyDescent="0.25">
      <c r="A297" s="49">
        <v>3521.75</v>
      </c>
      <c r="B297" s="32" t="s">
        <v>19</v>
      </c>
      <c r="C297" s="32" t="s">
        <v>123</v>
      </c>
      <c r="D297" s="32" t="s">
        <v>124</v>
      </c>
      <c r="E297" s="32" t="s">
        <v>22</v>
      </c>
      <c r="F297" s="46" t="s">
        <v>135</v>
      </c>
      <c r="G297" s="32" t="s">
        <v>728</v>
      </c>
      <c r="H297" s="32" t="s">
        <v>1476</v>
      </c>
      <c r="I297" s="34">
        <v>10</v>
      </c>
      <c r="J297" s="32" t="s">
        <v>130</v>
      </c>
      <c r="K297" s="32" t="s">
        <v>28</v>
      </c>
      <c r="L297" s="32" t="s">
        <v>29</v>
      </c>
      <c r="M297" s="32" t="s">
        <v>138</v>
      </c>
      <c r="N297" s="32" t="s">
        <v>930</v>
      </c>
    </row>
    <row r="298" spans="1:14" s="4" customFormat="1" ht="15.75" customHeight="1" x14ac:dyDescent="0.25">
      <c r="A298" s="49">
        <v>1176.9000000000001</v>
      </c>
      <c r="B298" s="32" t="s">
        <v>19</v>
      </c>
      <c r="C298" s="32" t="s">
        <v>123</v>
      </c>
      <c r="D298" s="32" t="s">
        <v>274</v>
      </c>
      <c r="E298" s="32" t="s">
        <v>914</v>
      </c>
      <c r="F298" s="46" t="s">
        <v>275</v>
      </c>
      <c r="G298" s="32" t="s">
        <v>932</v>
      </c>
      <c r="H298" s="32" t="s">
        <v>1505</v>
      </c>
      <c r="I298" s="34">
        <v>7</v>
      </c>
      <c r="J298" s="32" t="s">
        <v>279</v>
      </c>
      <c r="K298" s="32" t="s">
        <v>28</v>
      </c>
      <c r="L298" s="32" t="s">
        <v>918</v>
      </c>
      <c r="M298" s="32" t="s">
        <v>280</v>
      </c>
      <c r="N298" s="32" t="s">
        <v>935</v>
      </c>
    </row>
    <row r="299" spans="1:14" s="4" customFormat="1" ht="15.75" customHeight="1" x14ac:dyDescent="0.25">
      <c r="A299" s="49">
        <v>3644.16</v>
      </c>
      <c r="B299" s="32" t="s">
        <v>808</v>
      </c>
      <c r="C299" s="32" t="s">
        <v>734</v>
      </c>
      <c r="D299" s="32" t="s">
        <v>809</v>
      </c>
      <c r="E299" s="32" t="s">
        <v>22</v>
      </c>
      <c r="F299" s="46" t="s">
        <v>937</v>
      </c>
      <c r="G299" s="32" t="s">
        <v>938</v>
      </c>
      <c r="H299" s="32" t="s">
        <v>1506</v>
      </c>
      <c r="I299" s="34">
        <v>10</v>
      </c>
      <c r="J299" s="32" t="s">
        <v>813</v>
      </c>
      <c r="K299" s="32" t="s">
        <v>814</v>
      </c>
      <c r="L299" s="32" t="s">
        <v>29</v>
      </c>
      <c r="M299" s="32" t="s">
        <v>940</v>
      </c>
      <c r="N299" s="32" t="s">
        <v>941</v>
      </c>
    </row>
    <row r="300" spans="1:14" s="4" customFormat="1" ht="15.75" customHeight="1" x14ac:dyDescent="0.25">
      <c r="A300" s="49">
        <v>4225.5</v>
      </c>
      <c r="B300" s="32" t="s">
        <v>19</v>
      </c>
      <c r="C300" s="32" t="s">
        <v>123</v>
      </c>
      <c r="D300" s="32" t="s">
        <v>124</v>
      </c>
      <c r="E300" s="32" t="s">
        <v>22</v>
      </c>
      <c r="F300" s="46" t="s">
        <v>135</v>
      </c>
      <c r="G300" s="32" t="s">
        <v>943</v>
      </c>
      <c r="H300" s="32" t="s">
        <v>1507</v>
      </c>
      <c r="I300" s="34">
        <v>22</v>
      </c>
      <c r="J300" s="32" t="s">
        <v>130</v>
      </c>
      <c r="K300" s="32" t="s">
        <v>28</v>
      </c>
      <c r="L300" s="32" t="s">
        <v>29</v>
      </c>
      <c r="M300" s="32" t="s">
        <v>138</v>
      </c>
      <c r="N300" s="32" t="s">
        <v>945</v>
      </c>
    </row>
    <row r="301" spans="1:14" s="4" customFormat="1" ht="15.75" customHeight="1" x14ac:dyDescent="0.25">
      <c r="A301" s="49">
        <v>650</v>
      </c>
      <c r="B301" s="32" t="s">
        <v>19</v>
      </c>
      <c r="C301" s="32" t="s">
        <v>123</v>
      </c>
      <c r="D301" s="32" t="s">
        <v>124</v>
      </c>
      <c r="E301" s="32" t="s">
        <v>721</v>
      </c>
      <c r="F301" s="46" t="s">
        <v>135</v>
      </c>
      <c r="G301" s="32" t="s">
        <v>946</v>
      </c>
      <c r="H301" s="32" t="s">
        <v>1508</v>
      </c>
      <c r="I301" s="34">
        <v>22</v>
      </c>
      <c r="J301" s="32" t="s">
        <v>130</v>
      </c>
      <c r="K301" s="32" t="s">
        <v>28</v>
      </c>
      <c r="L301" s="32" t="s">
        <v>725</v>
      </c>
      <c r="M301" s="32" t="s">
        <v>138</v>
      </c>
      <c r="N301" s="32" t="s">
        <v>948</v>
      </c>
    </row>
    <row r="302" spans="1:14" s="4" customFormat="1" ht="15.75" customHeight="1" x14ac:dyDescent="0.25">
      <c r="A302" s="49">
        <v>4232.5</v>
      </c>
      <c r="B302" s="32" t="s">
        <v>949</v>
      </c>
      <c r="C302" s="32" t="s">
        <v>20</v>
      </c>
      <c r="D302" s="32" t="s">
        <v>21</v>
      </c>
      <c r="E302" s="32" t="s">
        <v>22</v>
      </c>
      <c r="F302" s="46" t="s">
        <v>298</v>
      </c>
      <c r="G302" s="32" t="s">
        <v>950</v>
      </c>
      <c r="H302" s="32" t="s">
        <v>1509</v>
      </c>
      <c r="I302" s="34">
        <v>4</v>
      </c>
      <c r="J302" s="32" t="s">
        <v>27</v>
      </c>
      <c r="K302" s="32" t="s">
        <v>952</v>
      </c>
      <c r="L302" s="32" t="s">
        <v>29</v>
      </c>
      <c r="M302" s="32" t="s">
        <v>301</v>
      </c>
      <c r="N302" s="32" t="s">
        <v>953</v>
      </c>
    </row>
    <row r="303" spans="1:14" s="4" customFormat="1" ht="15.75" customHeight="1" x14ac:dyDescent="0.25">
      <c r="A303" s="49">
        <v>5234.75</v>
      </c>
      <c r="B303" s="32" t="s">
        <v>19</v>
      </c>
      <c r="C303" s="32" t="s">
        <v>123</v>
      </c>
      <c r="D303" s="32" t="s">
        <v>124</v>
      </c>
      <c r="E303" s="32" t="s">
        <v>22</v>
      </c>
      <c r="F303" s="46" t="s">
        <v>819</v>
      </c>
      <c r="G303" s="32" t="s">
        <v>955</v>
      </c>
      <c r="H303" s="32" t="s">
        <v>1510</v>
      </c>
      <c r="I303" s="34">
        <v>10</v>
      </c>
      <c r="J303" s="32" t="s">
        <v>130</v>
      </c>
      <c r="K303" s="32" t="s">
        <v>28</v>
      </c>
      <c r="L303" s="32" t="s">
        <v>29</v>
      </c>
      <c r="M303" s="32" t="s">
        <v>824</v>
      </c>
      <c r="N303" s="32" t="s">
        <v>957</v>
      </c>
    </row>
    <row r="304" spans="1:14" s="4" customFormat="1" ht="15.75" customHeight="1" x14ac:dyDescent="0.25">
      <c r="A304" s="49">
        <v>2357.9899999999998</v>
      </c>
      <c r="B304" s="32" t="s">
        <v>19</v>
      </c>
      <c r="C304" s="32" t="s">
        <v>123</v>
      </c>
      <c r="D304" s="32" t="s">
        <v>274</v>
      </c>
      <c r="E304" s="32" t="s">
        <v>125</v>
      </c>
      <c r="F304" s="46" t="s">
        <v>959</v>
      </c>
      <c r="G304" s="32" t="s">
        <v>960</v>
      </c>
      <c r="H304" s="32" t="s">
        <v>1511</v>
      </c>
      <c r="I304" s="34">
        <v>8</v>
      </c>
      <c r="J304" s="32" t="s">
        <v>279</v>
      </c>
      <c r="K304" s="32" t="s">
        <v>28</v>
      </c>
      <c r="L304" s="32" t="s">
        <v>131</v>
      </c>
      <c r="M304" s="32" t="s">
        <v>962</v>
      </c>
      <c r="N304" s="32" t="s">
        <v>963</v>
      </c>
    </row>
    <row r="305" spans="1:14" s="4" customFormat="1" ht="15.75" customHeight="1" x14ac:dyDescent="0.25">
      <c r="A305" s="49">
        <v>961.48</v>
      </c>
      <c r="B305" s="32" t="s">
        <v>789</v>
      </c>
      <c r="C305" s="32" t="s">
        <v>123</v>
      </c>
      <c r="D305" s="32" t="s">
        <v>790</v>
      </c>
      <c r="E305" s="32" t="s">
        <v>125</v>
      </c>
      <c r="F305" s="46" t="s">
        <v>791</v>
      </c>
      <c r="G305" s="32" t="s">
        <v>965</v>
      </c>
      <c r="H305" s="32" t="s">
        <v>1512</v>
      </c>
      <c r="I305" s="34">
        <v>7</v>
      </c>
      <c r="J305" s="32" t="s">
        <v>794</v>
      </c>
      <c r="K305" s="32" t="s">
        <v>795</v>
      </c>
      <c r="L305" s="32" t="s">
        <v>131</v>
      </c>
      <c r="M305" s="32" t="s">
        <v>796</v>
      </c>
      <c r="N305" s="32" t="s">
        <v>967</v>
      </c>
    </row>
    <row r="306" spans="1:14" s="4" customFormat="1" ht="15.75" customHeight="1" x14ac:dyDescent="0.25">
      <c r="A306" s="49">
        <v>950</v>
      </c>
      <c r="B306" s="32" t="s">
        <v>19</v>
      </c>
      <c r="C306" s="32" t="s">
        <v>123</v>
      </c>
      <c r="D306" s="32" t="s">
        <v>124</v>
      </c>
      <c r="E306" s="32" t="s">
        <v>799</v>
      </c>
      <c r="F306" s="46" t="s">
        <v>135</v>
      </c>
      <c r="G306" s="32" t="s">
        <v>968</v>
      </c>
      <c r="H306" s="32" t="s">
        <v>1513</v>
      </c>
      <c r="I306" s="34">
        <v>6</v>
      </c>
      <c r="J306" s="32" t="s">
        <v>130</v>
      </c>
      <c r="K306" s="32" t="s">
        <v>28</v>
      </c>
      <c r="L306" s="32" t="s">
        <v>804</v>
      </c>
      <c r="M306" s="32" t="s">
        <v>138</v>
      </c>
      <c r="N306" s="32" t="s">
        <v>970</v>
      </c>
    </row>
    <row r="307" spans="1:14" s="4" customFormat="1" ht="15.75" customHeight="1" x14ac:dyDescent="0.25">
      <c r="A307" s="49">
        <v>2501.17</v>
      </c>
      <c r="B307" s="32" t="s">
        <v>19</v>
      </c>
      <c r="C307" s="32" t="s">
        <v>123</v>
      </c>
      <c r="D307" s="32" t="s">
        <v>274</v>
      </c>
      <c r="E307" s="32" t="s">
        <v>125</v>
      </c>
      <c r="F307" s="46" t="s">
        <v>972</v>
      </c>
      <c r="G307" s="32" t="s">
        <v>973</v>
      </c>
      <c r="H307" s="32" t="s">
        <v>1514</v>
      </c>
      <c r="I307" s="34">
        <v>17</v>
      </c>
      <c r="J307" s="32" t="s">
        <v>279</v>
      </c>
      <c r="K307" s="32" t="s">
        <v>28</v>
      </c>
      <c r="L307" s="32" t="s">
        <v>131</v>
      </c>
      <c r="M307" s="32" t="s">
        <v>975</v>
      </c>
      <c r="N307" s="32" t="s">
        <v>976</v>
      </c>
    </row>
    <row r="308" spans="1:14" s="4" customFormat="1" ht="15.75" customHeight="1" x14ac:dyDescent="0.25">
      <c r="A308" s="49">
        <v>151.91999999999999</v>
      </c>
      <c r="B308" s="32" t="s">
        <v>19</v>
      </c>
      <c r="C308" s="32" t="s">
        <v>123</v>
      </c>
      <c r="D308" s="32" t="s">
        <v>274</v>
      </c>
      <c r="E308" s="32" t="s">
        <v>900</v>
      </c>
      <c r="F308" s="46" t="s">
        <v>800</v>
      </c>
      <c r="G308" s="32" t="s">
        <v>978</v>
      </c>
      <c r="H308" s="32" t="s">
        <v>1515</v>
      </c>
      <c r="I308" s="34">
        <v>2</v>
      </c>
      <c r="J308" s="32" t="s">
        <v>279</v>
      </c>
      <c r="K308" s="32" t="s">
        <v>28</v>
      </c>
      <c r="L308" s="32" t="s">
        <v>904</v>
      </c>
      <c r="M308" s="32" t="s">
        <v>805</v>
      </c>
      <c r="N308" s="32" t="s">
        <v>980</v>
      </c>
    </row>
    <row r="309" spans="1:14" s="4" customFormat="1" ht="15.75" customHeight="1" x14ac:dyDescent="0.25">
      <c r="A309" s="49">
        <v>4225.5</v>
      </c>
      <c r="B309" s="32" t="s">
        <v>19</v>
      </c>
      <c r="C309" s="32" t="s">
        <v>123</v>
      </c>
      <c r="D309" s="32" t="s">
        <v>124</v>
      </c>
      <c r="E309" s="32" t="s">
        <v>22</v>
      </c>
      <c r="F309" s="46" t="s">
        <v>135</v>
      </c>
      <c r="G309" s="32" t="s">
        <v>981</v>
      </c>
      <c r="H309" s="32" t="s">
        <v>1516</v>
      </c>
      <c r="I309" s="34">
        <v>4</v>
      </c>
      <c r="J309" s="32" t="s">
        <v>130</v>
      </c>
      <c r="K309" s="32" t="s">
        <v>28</v>
      </c>
      <c r="L309" s="32" t="s">
        <v>29</v>
      </c>
      <c r="M309" s="32" t="s">
        <v>138</v>
      </c>
      <c r="N309" s="32" t="s">
        <v>983</v>
      </c>
    </row>
    <row r="310" spans="1:14" s="4" customFormat="1" ht="15.75" customHeight="1" x14ac:dyDescent="0.25">
      <c r="A310" s="49">
        <v>6323.5</v>
      </c>
      <c r="B310" s="32" t="s">
        <v>19</v>
      </c>
      <c r="C310" s="32" t="s">
        <v>123</v>
      </c>
      <c r="D310" s="32" t="s">
        <v>274</v>
      </c>
      <c r="E310" s="32" t="s">
        <v>22</v>
      </c>
      <c r="F310" s="46" t="s">
        <v>972</v>
      </c>
      <c r="G310" s="32" t="s">
        <v>985</v>
      </c>
      <c r="H310" s="32" t="s">
        <v>1517</v>
      </c>
      <c r="I310" s="34">
        <v>15</v>
      </c>
      <c r="J310" s="32" t="s">
        <v>279</v>
      </c>
      <c r="K310" s="32" t="s">
        <v>28</v>
      </c>
      <c r="L310" s="32" t="s">
        <v>29</v>
      </c>
      <c r="M310" s="32" t="s">
        <v>975</v>
      </c>
      <c r="N310" s="32" t="s">
        <v>987</v>
      </c>
    </row>
    <row r="311" spans="1:14" s="4" customFormat="1" ht="15.75" customHeight="1" x14ac:dyDescent="0.25">
      <c r="A311" s="49">
        <v>677.6</v>
      </c>
      <c r="B311" s="32" t="s">
        <v>755</v>
      </c>
      <c r="C311" s="32" t="s">
        <v>756</v>
      </c>
      <c r="D311" s="32" t="s">
        <v>757</v>
      </c>
      <c r="E311" s="32" t="s">
        <v>22</v>
      </c>
      <c r="F311" s="46" t="s">
        <v>989</v>
      </c>
      <c r="G311" s="32" t="s">
        <v>990</v>
      </c>
      <c r="H311" s="32" t="s">
        <v>1518</v>
      </c>
      <c r="I311" s="34">
        <v>1</v>
      </c>
      <c r="J311" s="32" t="s">
        <v>761</v>
      </c>
      <c r="K311" s="32" t="s">
        <v>762</v>
      </c>
      <c r="L311" s="32" t="s">
        <v>29</v>
      </c>
      <c r="M311" s="32" t="s">
        <v>992</v>
      </c>
      <c r="N311" s="32" t="s">
        <v>993</v>
      </c>
    </row>
    <row r="312" spans="1:14" s="4" customFormat="1" ht="15.75" customHeight="1" x14ac:dyDescent="0.25">
      <c r="A312" s="49">
        <v>88</v>
      </c>
      <c r="B312" s="32" t="s">
        <v>830</v>
      </c>
      <c r="C312" s="32" t="s">
        <v>734</v>
      </c>
      <c r="D312" s="32" t="s">
        <v>746</v>
      </c>
      <c r="E312" s="32" t="s">
        <v>22</v>
      </c>
      <c r="F312" s="46" t="s">
        <v>995</v>
      </c>
      <c r="G312" s="32" t="s">
        <v>996</v>
      </c>
      <c r="H312" s="32" t="s">
        <v>1519</v>
      </c>
      <c r="I312" s="34">
        <v>16</v>
      </c>
      <c r="J312" s="32" t="s">
        <v>750</v>
      </c>
      <c r="K312" s="32" t="s">
        <v>834</v>
      </c>
      <c r="L312" s="32" t="s">
        <v>29</v>
      </c>
      <c r="M312" s="32" t="s">
        <v>999</v>
      </c>
      <c r="N312" s="32" t="s">
        <v>1000</v>
      </c>
    </row>
    <row r="313" spans="1:14" s="4" customFormat="1" ht="15.75" customHeight="1" x14ac:dyDescent="0.25">
      <c r="A313" s="49">
        <v>6263.25</v>
      </c>
      <c r="B313" s="32" t="s">
        <v>19</v>
      </c>
      <c r="C313" s="32" t="s">
        <v>123</v>
      </c>
      <c r="D313" s="32" t="s">
        <v>124</v>
      </c>
      <c r="E313" s="32" t="s">
        <v>22</v>
      </c>
      <c r="F313" s="46" t="s">
        <v>1002</v>
      </c>
      <c r="G313" s="32" t="s">
        <v>1003</v>
      </c>
      <c r="H313" s="32" t="s">
        <v>1520</v>
      </c>
      <c r="I313" s="34">
        <v>9</v>
      </c>
      <c r="J313" s="32" t="s">
        <v>130</v>
      </c>
      <c r="K313" s="32" t="s">
        <v>28</v>
      </c>
      <c r="L313" s="32" t="s">
        <v>29</v>
      </c>
      <c r="M313" s="32" t="s">
        <v>1005</v>
      </c>
      <c r="N313" s="32" t="s">
        <v>1006</v>
      </c>
    </row>
    <row r="314" spans="1:14" s="4" customFormat="1" ht="15.75" customHeight="1" x14ac:dyDescent="0.25">
      <c r="A314" s="49">
        <v>883.13</v>
      </c>
      <c r="B314" s="32" t="s">
        <v>19</v>
      </c>
      <c r="C314" s="32" t="s">
        <v>734</v>
      </c>
      <c r="D314" s="32" t="s">
        <v>842</v>
      </c>
      <c r="E314" s="32" t="s">
        <v>125</v>
      </c>
      <c r="F314" s="46" t="s">
        <v>1008</v>
      </c>
      <c r="G314" s="32" t="s">
        <v>1009</v>
      </c>
      <c r="H314" s="32" t="s">
        <v>1521</v>
      </c>
      <c r="I314" s="34">
        <v>17</v>
      </c>
      <c r="J314" s="32" t="s">
        <v>846</v>
      </c>
      <c r="K314" s="32" t="s">
        <v>28</v>
      </c>
      <c r="L314" s="32" t="s">
        <v>131</v>
      </c>
      <c r="M314" s="32" t="s">
        <v>1011</v>
      </c>
      <c r="N314" s="32" t="s">
        <v>1012</v>
      </c>
    </row>
    <row r="315" spans="1:14" s="4" customFormat="1" ht="15.75" customHeight="1" x14ac:dyDescent="0.25">
      <c r="A315" s="49">
        <v>1934</v>
      </c>
      <c r="B315" s="32" t="s">
        <v>19</v>
      </c>
      <c r="C315" s="32" t="s">
        <v>768</v>
      </c>
      <c r="D315" s="32" t="s">
        <v>1014</v>
      </c>
      <c r="E315" s="32" t="s">
        <v>22</v>
      </c>
      <c r="F315" s="46" t="s">
        <v>1015</v>
      </c>
      <c r="G315" s="32" t="s">
        <v>1016</v>
      </c>
      <c r="H315" s="32" t="s">
        <v>1522</v>
      </c>
      <c r="I315" s="34">
        <v>5</v>
      </c>
      <c r="J315" s="32" t="s">
        <v>1018</v>
      </c>
      <c r="K315" s="32" t="s">
        <v>28</v>
      </c>
      <c r="L315" s="32" t="s">
        <v>29</v>
      </c>
      <c r="M315" s="32" t="s">
        <v>1019</v>
      </c>
      <c r="N315" s="32" t="s">
        <v>1020</v>
      </c>
    </row>
    <row r="316" spans="1:14" s="4" customFormat="1" ht="15.75" customHeight="1" x14ac:dyDescent="0.25">
      <c r="A316" s="49">
        <v>4082.25</v>
      </c>
      <c r="B316" s="32" t="s">
        <v>19</v>
      </c>
      <c r="C316" s="32" t="s">
        <v>123</v>
      </c>
      <c r="D316" s="32" t="s">
        <v>124</v>
      </c>
      <c r="E316" s="32" t="s">
        <v>22</v>
      </c>
      <c r="F316" s="46" t="s">
        <v>135</v>
      </c>
      <c r="G316" s="32" t="s">
        <v>1022</v>
      </c>
      <c r="H316" s="32" t="s">
        <v>1523</v>
      </c>
      <c r="I316" s="34">
        <v>15</v>
      </c>
      <c r="J316" s="32" t="s">
        <v>130</v>
      </c>
      <c r="K316" s="32" t="s">
        <v>28</v>
      </c>
      <c r="L316" s="32" t="s">
        <v>29</v>
      </c>
      <c r="M316" s="32" t="s">
        <v>138</v>
      </c>
      <c r="N316" s="32" t="s">
        <v>1024</v>
      </c>
    </row>
    <row r="317" spans="1:14" s="4" customFormat="1" ht="15.75" customHeight="1" x14ac:dyDescent="0.25">
      <c r="A317" s="49">
        <v>4903.75</v>
      </c>
      <c r="B317" s="32" t="s">
        <v>19</v>
      </c>
      <c r="C317" s="32" t="s">
        <v>123</v>
      </c>
      <c r="D317" s="32" t="s">
        <v>124</v>
      </c>
      <c r="E317" s="32" t="s">
        <v>22</v>
      </c>
      <c r="F317" s="46" t="s">
        <v>707</v>
      </c>
      <c r="G317" s="32" t="s">
        <v>1025</v>
      </c>
      <c r="H317" s="32" t="s">
        <v>1524</v>
      </c>
      <c r="I317" s="34">
        <v>14</v>
      </c>
      <c r="J317" s="32" t="s">
        <v>130</v>
      </c>
      <c r="K317" s="32" t="s">
        <v>28</v>
      </c>
      <c r="L317" s="32" t="s">
        <v>29</v>
      </c>
      <c r="M317" s="32" t="s">
        <v>710</v>
      </c>
      <c r="N317" s="32" t="s">
        <v>1027</v>
      </c>
    </row>
    <row r="318" spans="1:14" s="4" customFormat="1" ht="15.75" customHeight="1" x14ac:dyDescent="0.25">
      <c r="A318" s="49">
        <v>4372.25</v>
      </c>
      <c r="B318" s="32" t="s">
        <v>19</v>
      </c>
      <c r="C318" s="32" t="s">
        <v>123</v>
      </c>
      <c r="D318" s="32" t="s">
        <v>124</v>
      </c>
      <c r="E318" s="32" t="s">
        <v>22</v>
      </c>
      <c r="F318" s="46" t="s">
        <v>135</v>
      </c>
      <c r="G318" s="32" t="s">
        <v>1028</v>
      </c>
      <c r="H318" s="32" t="s">
        <v>1525</v>
      </c>
      <c r="I318" s="34">
        <v>10</v>
      </c>
      <c r="J318" s="32" t="s">
        <v>130</v>
      </c>
      <c r="K318" s="32" t="s">
        <v>28</v>
      </c>
      <c r="L318" s="32" t="s">
        <v>29</v>
      </c>
      <c r="M318" s="32" t="s">
        <v>138</v>
      </c>
      <c r="N318" s="32" t="s">
        <v>1030</v>
      </c>
    </row>
    <row r="319" spans="1:14" s="4" customFormat="1" ht="15.75" customHeight="1" x14ac:dyDescent="0.25">
      <c r="A319" s="49">
        <v>4082.25</v>
      </c>
      <c r="B319" s="32" t="s">
        <v>19</v>
      </c>
      <c r="C319" s="32" t="s">
        <v>123</v>
      </c>
      <c r="D319" s="32" t="s">
        <v>124</v>
      </c>
      <c r="E319" s="32" t="s">
        <v>22</v>
      </c>
      <c r="F319" s="46" t="s">
        <v>135</v>
      </c>
      <c r="G319" s="32" t="s">
        <v>1031</v>
      </c>
      <c r="H319" s="32" t="s">
        <v>1526</v>
      </c>
      <c r="I319" s="34">
        <v>15</v>
      </c>
      <c r="J319" s="32" t="s">
        <v>130</v>
      </c>
      <c r="K319" s="32" t="s">
        <v>28</v>
      </c>
      <c r="L319" s="32" t="s">
        <v>29</v>
      </c>
      <c r="M319" s="32" t="s">
        <v>138</v>
      </c>
      <c r="N319" s="32" t="s">
        <v>1033</v>
      </c>
    </row>
    <row r="320" spans="1:14" s="4" customFormat="1" ht="15.75" customHeight="1" x14ac:dyDescent="0.25">
      <c r="A320" s="49">
        <v>159.12</v>
      </c>
      <c r="B320" s="32" t="s">
        <v>19</v>
      </c>
      <c r="C320" s="32" t="s">
        <v>123</v>
      </c>
      <c r="D320" s="32" t="s">
        <v>274</v>
      </c>
      <c r="E320" s="32" t="s">
        <v>900</v>
      </c>
      <c r="F320" s="46" t="s">
        <v>1035</v>
      </c>
      <c r="G320" s="32" t="s">
        <v>1036</v>
      </c>
      <c r="H320" s="32" t="s">
        <v>1527</v>
      </c>
      <c r="I320" s="34">
        <v>21</v>
      </c>
      <c r="J320" s="32" t="s">
        <v>279</v>
      </c>
      <c r="K320" s="32" t="s">
        <v>28</v>
      </c>
      <c r="L320" s="32" t="s">
        <v>904</v>
      </c>
      <c r="M320" s="32" t="s">
        <v>1038</v>
      </c>
      <c r="N320" s="32" t="s">
        <v>1039</v>
      </c>
    </row>
    <row r="321" spans="1:14" s="4" customFormat="1" ht="15.75" customHeight="1" x14ac:dyDescent="0.25">
      <c r="A321" s="49">
        <v>4571</v>
      </c>
      <c r="B321" s="32" t="s">
        <v>19</v>
      </c>
      <c r="C321" s="32" t="s">
        <v>123</v>
      </c>
      <c r="D321" s="32" t="s">
        <v>124</v>
      </c>
      <c r="E321" s="32" t="s">
        <v>22</v>
      </c>
      <c r="F321" s="46" t="s">
        <v>707</v>
      </c>
      <c r="G321" s="32" t="s">
        <v>1040</v>
      </c>
      <c r="H321" s="32" t="s">
        <v>1528</v>
      </c>
      <c r="I321" s="34">
        <v>19</v>
      </c>
      <c r="J321" s="32" t="s">
        <v>130</v>
      </c>
      <c r="K321" s="32" t="s">
        <v>28</v>
      </c>
      <c r="L321" s="32" t="s">
        <v>29</v>
      </c>
      <c r="M321" s="32" t="s">
        <v>710</v>
      </c>
      <c r="N321" s="32" t="s">
        <v>1042</v>
      </c>
    </row>
    <row r="322" spans="1:14" s="4" customFormat="1" ht="15.75" customHeight="1" x14ac:dyDescent="0.25">
      <c r="A322" s="49">
        <v>3672</v>
      </c>
      <c r="B322" s="32" t="s">
        <v>830</v>
      </c>
      <c r="C322" s="32" t="s">
        <v>734</v>
      </c>
      <c r="D322" s="32" t="s">
        <v>746</v>
      </c>
      <c r="E322" s="32" t="s">
        <v>22</v>
      </c>
      <c r="F322" s="46" t="s">
        <v>1044</v>
      </c>
      <c r="G322" s="32" t="s">
        <v>1045</v>
      </c>
      <c r="H322" s="32" t="s">
        <v>1529</v>
      </c>
      <c r="I322" s="34">
        <v>7</v>
      </c>
      <c r="J322" s="32" t="s">
        <v>750</v>
      </c>
      <c r="K322" s="32" t="s">
        <v>834</v>
      </c>
      <c r="L322" s="32" t="s">
        <v>29</v>
      </c>
      <c r="M322" s="32" t="s">
        <v>1047</v>
      </c>
      <c r="N322" s="32" t="s">
        <v>1048</v>
      </c>
    </row>
    <row r="323" spans="1:14" s="4" customFormat="1" ht="15.75" customHeight="1" x14ac:dyDescent="0.25">
      <c r="A323" s="49">
        <v>2589</v>
      </c>
      <c r="B323" s="32" t="s">
        <v>19</v>
      </c>
      <c r="C323" s="32" t="s">
        <v>667</v>
      </c>
      <c r="D323" s="32" t="s">
        <v>1050</v>
      </c>
      <c r="E323" s="32" t="s">
        <v>22</v>
      </c>
      <c r="F323" s="46" t="s">
        <v>1051</v>
      </c>
      <c r="G323" s="32" t="s">
        <v>1052</v>
      </c>
      <c r="H323" s="32" t="s">
        <v>1530</v>
      </c>
      <c r="I323" s="34">
        <v>15</v>
      </c>
      <c r="J323" s="32" t="s">
        <v>1054</v>
      </c>
      <c r="K323" s="32" t="s">
        <v>28</v>
      </c>
      <c r="L323" s="32" t="s">
        <v>29</v>
      </c>
      <c r="M323" s="32" t="s">
        <v>1055</v>
      </c>
      <c r="N323" s="32" t="s">
        <v>1056</v>
      </c>
    </row>
    <row r="324" spans="1:14" s="4" customFormat="1" ht="15.75" customHeight="1" x14ac:dyDescent="0.25">
      <c r="A324" s="49">
        <v>522.6</v>
      </c>
      <c r="B324" s="32" t="s">
        <v>789</v>
      </c>
      <c r="C324" s="32" t="s">
        <v>123</v>
      </c>
      <c r="D324" s="32" t="s">
        <v>790</v>
      </c>
      <c r="E324" s="32" t="s">
        <v>125</v>
      </c>
      <c r="F324" s="46" t="s">
        <v>1058</v>
      </c>
      <c r="G324" s="32" t="s">
        <v>1059</v>
      </c>
      <c r="H324" s="32" t="s">
        <v>1531</v>
      </c>
      <c r="I324" s="34">
        <v>1</v>
      </c>
      <c r="J324" s="32" t="s">
        <v>794</v>
      </c>
      <c r="K324" s="32" t="s">
        <v>795</v>
      </c>
      <c r="L324" s="32" t="s">
        <v>131</v>
      </c>
      <c r="M324" s="32" t="s">
        <v>1061</v>
      </c>
      <c r="N324" s="32" t="s">
        <v>1062</v>
      </c>
    </row>
    <row r="325" spans="1:14" s="4" customFormat="1" ht="15.75" customHeight="1" x14ac:dyDescent="0.25">
      <c r="A325" s="49">
        <v>4287.75</v>
      </c>
      <c r="B325" s="32" t="s">
        <v>19</v>
      </c>
      <c r="C325" s="32" t="s">
        <v>123</v>
      </c>
      <c r="D325" s="32" t="s">
        <v>124</v>
      </c>
      <c r="E325" s="32" t="s">
        <v>22</v>
      </c>
      <c r="F325" s="46" t="s">
        <v>1064</v>
      </c>
      <c r="G325" s="32" t="s">
        <v>1065</v>
      </c>
      <c r="H325" s="32" t="s">
        <v>1532</v>
      </c>
      <c r="I325" s="34">
        <v>14</v>
      </c>
      <c r="J325" s="32" t="s">
        <v>130</v>
      </c>
      <c r="K325" s="32" t="s">
        <v>28</v>
      </c>
      <c r="L325" s="32" t="s">
        <v>29</v>
      </c>
      <c r="M325" s="32" t="s">
        <v>1067</v>
      </c>
      <c r="N325" s="32" t="s">
        <v>1068</v>
      </c>
    </row>
    <row r="326" spans="1:14" s="4" customFormat="1" ht="15.75" customHeight="1" x14ac:dyDescent="0.25">
      <c r="A326" s="49">
        <v>4121</v>
      </c>
      <c r="B326" s="32" t="s">
        <v>19</v>
      </c>
      <c r="C326" s="32" t="s">
        <v>123</v>
      </c>
      <c r="D326" s="32" t="s">
        <v>274</v>
      </c>
      <c r="E326" s="32" t="s">
        <v>22</v>
      </c>
      <c r="F326" s="46" t="s">
        <v>275</v>
      </c>
      <c r="G326" s="32" t="s">
        <v>1070</v>
      </c>
      <c r="H326" s="32" t="s">
        <v>1533</v>
      </c>
      <c r="I326" s="34">
        <v>12</v>
      </c>
      <c r="J326" s="32" t="s">
        <v>279</v>
      </c>
      <c r="K326" s="32" t="s">
        <v>28</v>
      </c>
      <c r="L326" s="32" t="s">
        <v>29</v>
      </c>
      <c r="M326" s="32" t="s">
        <v>280</v>
      </c>
      <c r="N326" s="32" t="s">
        <v>1072</v>
      </c>
    </row>
    <row r="327" spans="1:14" s="4" customFormat="1" ht="15.75" customHeight="1" x14ac:dyDescent="0.25">
      <c r="A327" s="49">
        <v>4982.5</v>
      </c>
      <c r="B327" s="32" t="s">
        <v>19</v>
      </c>
      <c r="C327" s="32" t="s">
        <v>667</v>
      </c>
      <c r="D327" s="32" t="s">
        <v>1050</v>
      </c>
      <c r="E327" s="32" t="s">
        <v>22</v>
      </c>
      <c r="F327" s="46" t="s">
        <v>1074</v>
      </c>
      <c r="G327" s="32" t="s">
        <v>1075</v>
      </c>
      <c r="H327" s="32" t="s">
        <v>1534</v>
      </c>
      <c r="I327" s="34">
        <v>19</v>
      </c>
      <c r="J327" s="32" t="s">
        <v>1054</v>
      </c>
      <c r="K327" s="32" t="s">
        <v>28</v>
      </c>
      <c r="L327" s="32" t="s">
        <v>29</v>
      </c>
      <c r="M327" s="32" t="s">
        <v>1077</v>
      </c>
      <c r="N327" s="32" t="s">
        <v>1078</v>
      </c>
    </row>
    <row r="328" spans="1:14" s="4" customFormat="1" ht="15.75" customHeight="1" x14ac:dyDescent="0.25">
      <c r="A328" s="49">
        <v>324.98</v>
      </c>
      <c r="B328" s="32" t="s">
        <v>19</v>
      </c>
      <c r="C328" s="32" t="s">
        <v>123</v>
      </c>
      <c r="D328" s="32" t="s">
        <v>274</v>
      </c>
      <c r="E328" s="32" t="s">
        <v>125</v>
      </c>
      <c r="F328" s="46" t="s">
        <v>1035</v>
      </c>
      <c r="G328" s="35">
        <v>2884670000000</v>
      </c>
      <c r="H328" s="32" t="s">
        <v>1535</v>
      </c>
      <c r="I328" s="34">
        <v>11</v>
      </c>
      <c r="J328" s="32" t="s">
        <v>279</v>
      </c>
      <c r="K328" s="32" t="s">
        <v>28</v>
      </c>
      <c r="L328" s="32" t="s">
        <v>131</v>
      </c>
      <c r="M328" s="32" t="s">
        <v>1038</v>
      </c>
      <c r="N328" s="35">
        <v>2.8846699999999999E+33</v>
      </c>
    </row>
    <row r="329" spans="1:14" s="4" customFormat="1" ht="15.75" customHeight="1" x14ac:dyDescent="0.25">
      <c r="A329" s="49">
        <v>3347.5</v>
      </c>
      <c r="B329" s="32" t="s">
        <v>19</v>
      </c>
      <c r="C329" s="32" t="s">
        <v>123</v>
      </c>
      <c r="D329" s="32" t="s">
        <v>124</v>
      </c>
      <c r="E329" s="32" t="s">
        <v>22</v>
      </c>
      <c r="F329" s="46" t="s">
        <v>1082</v>
      </c>
      <c r="G329" s="32" t="s">
        <v>1083</v>
      </c>
      <c r="H329" s="32" t="s">
        <v>1536</v>
      </c>
      <c r="I329" s="34">
        <v>23</v>
      </c>
      <c r="J329" s="32" t="s">
        <v>130</v>
      </c>
      <c r="K329" s="32" t="s">
        <v>28</v>
      </c>
      <c r="L329" s="32" t="s">
        <v>29</v>
      </c>
      <c r="M329" s="32" t="s">
        <v>1085</v>
      </c>
      <c r="N329" s="32" t="s">
        <v>1086</v>
      </c>
    </row>
    <row r="330" spans="1:14" s="4" customFormat="1" ht="15.75" customHeight="1" x14ac:dyDescent="0.25">
      <c r="A330" s="49">
        <v>423.93</v>
      </c>
      <c r="B330" s="32" t="s">
        <v>19</v>
      </c>
      <c r="C330" s="32" t="s">
        <v>123</v>
      </c>
      <c r="D330" s="32" t="s">
        <v>124</v>
      </c>
      <c r="E330" s="32" t="s">
        <v>125</v>
      </c>
      <c r="F330" s="46" t="s">
        <v>135</v>
      </c>
      <c r="G330" s="32" t="s">
        <v>1087</v>
      </c>
      <c r="H330" s="32" t="s">
        <v>1537</v>
      </c>
      <c r="I330" s="34">
        <v>3</v>
      </c>
      <c r="J330" s="32" t="s">
        <v>130</v>
      </c>
      <c r="K330" s="32" t="s">
        <v>28</v>
      </c>
      <c r="L330" s="32" t="s">
        <v>131</v>
      </c>
      <c r="M330" s="32" t="s">
        <v>138</v>
      </c>
      <c r="N330" s="32" t="s">
        <v>1089</v>
      </c>
    </row>
    <row r="331" spans="1:14" s="4" customFormat="1" ht="15.75" customHeight="1" x14ac:dyDescent="0.25">
      <c r="A331" s="49">
        <v>1762.56</v>
      </c>
      <c r="B331" s="32" t="s">
        <v>808</v>
      </c>
      <c r="C331" s="32" t="s">
        <v>734</v>
      </c>
      <c r="D331" s="32" t="s">
        <v>809</v>
      </c>
      <c r="E331" s="32" t="s">
        <v>22</v>
      </c>
      <c r="F331" s="46" t="s">
        <v>1091</v>
      </c>
      <c r="G331" s="32" t="s">
        <v>1092</v>
      </c>
      <c r="H331" s="32" t="s">
        <v>1538</v>
      </c>
      <c r="I331" s="34">
        <v>3</v>
      </c>
      <c r="J331" s="32" t="s">
        <v>813</v>
      </c>
      <c r="K331" s="32" t="s">
        <v>814</v>
      </c>
      <c r="L331" s="32" t="s">
        <v>29</v>
      </c>
      <c r="M331" s="32" t="s">
        <v>1094</v>
      </c>
      <c r="N331" s="32" t="s">
        <v>1095</v>
      </c>
    </row>
    <row r="332" spans="1:14" s="4" customFormat="1" ht="15.75" customHeight="1" x14ac:dyDescent="0.25">
      <c r="A332" s="49">
        <v>58.08</v>
      </c>
      <c r="B332" s="32" t="s">
        <v>19</v>
      </c>
      <c r="C332" s="32" t="s">
        <v>123</v>
      </c>
      <c r="D332" s="32" t="s">
        <v>274</v>
      </c>
      <c r="E332" s="32" t="s">
        <v>900</v>
      </c>
      <c r="F332" s="46" t="s">
        <v>275</v>
      </c>
      <c r="G332" s="32" t="s">
        <v>1097</v>
      </c>
      <c r="H332" s="32" t="s">
        <v>1539</v>
      </c>
      <c r="I332" s="34">
        <v>2</v>
      </c>
      <c r="J332" s="32" t="s">
        <v>279</v>
      </c>
      <c r="K332" s="32" t="s">
        <v>28</v>
      </c>
      <c r="L332" s="32" t="s">
        <v>904</v>
      </c>
      <c r="M332" s="32" t="s">
        <v>280</v>
      </c>
      <c r="N332" s="32" t="s">
        <v>1099</v>
      </c>
    </row>
    <row r="333" spans="1:14" s="4" customFormat="1" ht="15.75" customHeight="1" x14ac:dyDescent="0.25">
      <c r="A333" s="49">
        <v>155.97</v>
      </c>
      <c r="B333" s="32" t="s">
        <v>850</v>
      </c>
      <c r="C333" s="32" t="s">
        <v>123</v>
      </c>
      <c r="D333" s="32" t="s">
        <v>274</v>
      </c>
      <c r="E333" s="32" t="s">
        <v>125</v>
      </c>
      <c r="F333" s="46" t="s">
        <v>275</v>
      </c>
      <c r="G333" s="32" t="s">
        <v>1101</v>
      </c>
      <c r="H333" s="32" t="s">
        <v>1540</v>
      </c>
      <c r="I333" s="34">
        <v>3</v>
      </c>
      <c r="J333" s="32" t="s">
        <v>279</v>
      </c>
      <c r="K333" s="32" t="s">
        <v>854</v>
      </c>
      <c r="L333" s="32" t="s">
        <v>131</v>
      </c>
      <c r="M333" s="32" t="s">
        <v>280</v>
      </c>
      <c r="N333" s="32" t="s">
        <v>1103</v>
      </c>
    </row>
    <row r="334" spans="1:14" s="4" customFormat="1" ht="15.75" customHeight="1" x14ac:dyDescent="0.25">
      <c r="A334" s="49">
        <v>-375.83</v>
      </c>
      <c r="B334" s="32" t="s">
        <v>19</v>
      </c>
      <c r="C334" s="32" t="s">
        <v>20</v>
      </c>
      <c r="D334" s="32" t="s">
        <v>21</v>
      </c>
      <c r="E334" s="32" t="s">
        <v>22</v>
      </c>
      <c r="F334" s="46" t="s">
        <v>152</v>
      </c>
      <c r="G334" s="32" t="s">
        <v>193</v>
      </c>
      <c r="H334" s="32" t="s">
        <v>1391</v>
      </c>
      <c r="I334" s="34">
        <v>1</v>
      </c>
      <c r="J334" s="32" t="s">
        <v>27</v>
      </c>
      <c r="K334" s="32" t="s">
        <v>28</v>
      </c>
      <c r="L334" s="32" t="s">
        <v>29</v>
      </c>
      <c r="M334" s="32" t="s">
        <v>155</v>
      </c>
      <c r="N334" s="32" t="s">
        <v>1105</v>
      </c>
    </row>
    <row r="335" spans="1:14" s="4" customFormat="1" ht="15.75" customHeight="1" x14ac:dyDescent="0.25">
      <c r="A335" s="49">
        <v>4659</v>
      </c>
      <c r="B335" s="32" t="s">
        <v>19</v>
      </c>
      <c r="C335" s="32" t="s">
        <v>20</v>
      </c>
      <c r="D335" s="32" t="s">
        <v>21</v>
      </c>
      <c r="E335" s="32" t="s">
        <v>22</v>
      </c>
      <c r="F335" s="46" t="s">
        <v>1107</v>
      </c>
      <c r="G335" s="32" t="s">
        <v>1108</v>
      </c>
      <c r="H335" s="32" t="s">
        <v>1541</v>
      </c>
      <c r="I335" s="34">
        <v>1</v>
      </c>
      <c r="J335" s="32" t="s">
        <v>27</v>
      </c>
      <c r="K335" s="32" t="s">
        <v>28</v>
      </c>
      <c r="L335" s="32" t="s">
        <v>29</v>
      </c>
      <c r="M335" s="32" t="s">
        <v>1110</v>
      </c>
      <c r="N335" s="32" t="s">
        <v>1111</v>
      </c>
    </row>
    <row r="336" spans="1:14" s="4" customFormat="1" ht="15.75" customHeight="1" x14ac:dyDescent="0.25">
      <c r="A336" s="49">
        <v>4534</v>
      </c>
      <c r="B336" s="32" t="s">
        <v>19</v>
      </c>
      <c r="C336" s="32" t="s">
        <v>20</v>
      </c>
      <c r="D336" s="32" t="s">
        <v>21</v>
      </c>
      <c r="E336" s="32" t="s">
        <v>22</v>
      </c>
      <c r="F336" s="46" t="s">
        <v>61</v>
      </c>
      <c r="G336" s="32" t="s">
        <v>513</v>
      </c>
      <c r="H336" s="32" t="s">
        <v>1448</v>
      </c>
      <c r="I336" s="34">
        <v>1</v>
      </c>
      <c r="J336" s="32" t="s">
        <v>27</v>
      </c>
      <c r="K336" s="32" t="s">
        <v>28</v>
      </c>
      <c r="L336" s="32" t="s">
        <v>29</v>
      </c>
      <c r="M336" s="32" t="s">
        <v>65</v>
      </c>
      <c r="N336" s="32" t="s">
        <v>1112</v>
      </c>
    </row>
    <row r="337" spans="1:14" s="4" customFormat="1" ht="15.75" customHeight="1" x14ac:dyDescent="0.25">
      <c r="A337" s="49">
        <v>2657.5</v>
      </c>
      <c r="B337" s="32" t="s">
        <v>19</v>
      </c>
      <c r="C337" s="32" t="s">
        <v>20</v>
      </c>
      <c r="D337" s="32" t="s">
        <v>21</v>
      </c>
      <c r="E337" s="32" t="s">
        <v>22</v>
      </c>
      <c r="F337" s="46" t="s">
        <v>282</v>
      </c>
      <c r="G337" s="32" t="s">
        <v>283</v>
      </c>
      <c r="H337" s="32" t="s">
        <v>1407</v>
      </c>
      <c r="I337" s="34">
        <v>1</v>
      </c>
      <c r="J337" s="32" t="s">
        <v>27</v>
      </c>
      <c r="K337" s="32" t="s">
        <v>28</v>
      </c>
      <c r="L337" s="32" t="s">
        <v>29</v>
      </c>
      <c r="M337" s="32" t="s">
        <v>285</v>
      </c>
      <c r="N337" s="32" t="s">
        <v>1113</v>
      </c>
    </row>
    <row r="338" spans="1:14" s="4" customFormat="1" ht="15.75" customHeight="1" x14ac:dyDescent="0.25">
      <c r="A338" s="49">
        <v>4672</v>
      </c>
      <c r="B338" s="32" t="s">
        <v>19</v>
      </c>
      <c r="C338" s="32" t="s">
        <v>20</v>
      </c>
      <c r="D338" s="32" t="s">
        <v>21</v>
      </c>
      <c r="E338" s="32" t="s">
        <v>22</v>
      </c>
      <c r="F338" s="46" t="s">
        <v>314</v>
      </c>
      <c r="G338" s="32" t="s">
        <v>1115</v>
      </c>
      <c r="H338" s="32" t="s">
        <v>1542</v>
      </c>
      <c r="I338" s="34">
        <v>1</v>
      </c>
      <c r="J338" s="32" t="s">
        <v>27</v>
      </c>
      <c r="K338" s="32" t="s">
        <v>28</v>
      </c>
      <c r="L338" s="32" t="s">
        <v>29</v>
      </c>
      <c r="M338" s="32" t="s">
        <v>317</v>
      </c>
      <c r="N338" s="32" t="s">
        <v>1117</v>
      </c>
    </row>
    <row r="339" spans="1:14" s="4" customFormat="1" ht="15.75" customHeight="1" x14ac:dyDescent="0.25">
      <c r="A339" s="49">
        <v>4536</v>
      </c>
      <c r="B339" s="32" t="s">
        <v>19</v>
      </c>
      <c r="C339" s="32" t="s">
        <v>20</v>
      </c>
      <c r="D339" s="32" t="s">
        <v>21</v>
      </c>
      <c r="E339" s="32" t="s">
        <v>22</v>
      </c>
      <c r="F339" s="46" t="s">
        <v>110</v>
      </c>
      <c r="G339" s="35" t="s">
        <v>111</v>
      </c>
      <c r="H339" s="32" t="s">
        <v>1378</v>
      </c>
      <c r="I339" s="34">
        <v>1</v>
      </c>
      <c r="J339" s="32" t="s">
        <v>27</v>
      </c>
      <c r="K339" s="32" t="s">
        <v>28</v>
      </c>
      <c r="L339" s="32" t="s">
        <v>29</v>
      </c>
      <c r="M339" s="32" t="s">
        <v>113</v>
      </c>
      <c r="N339" s="35" t="s">
        <v>1118</v>
      </c>
    </row>
    <row r="340" spans="1:14" s="4" customFormat="1" ht="15.75" customHeight="1" x14ac:dyDescent="0.25">
      <c r="A340" s="49">
        <v>5317</v>
      </c>
      <c r="B340" s="32" t="s">
        <v>19</v>
      </c>
      <c r="C340" s="32" t="s">
        <v>20</v>
      </c>
      <c r="D340" s="32" t="s">
        <v>21</v>
      </c>
      <c r="E340" s="32" t="s">
        <v>22</v>
      </c>
      <c r="F340" s="46" t="s">
        <v>167</v>
      </c>
      <c r="G340" s="32" t="s">
        <v>688</v>
      </c>
      <c r="H340" s="32" t="s">
        <v>1470</v>
      </c>
      <c r="I340" s="34">
        <v>1</v>
      </c>
      <c r="J340" s="32" t="s">
        <v>27</v>
      </c>
      <c r="K340" s="32" t="s">
        <v>28</v>
      </c>
      <c r="L340" s="32" t="s">
        <v>29</v>
      </c>
      <c r="M340" s="32" t="s">
        <v>170</v>
      </c>
      <c r="N340" s="32" t="s">
        <v>1119</v>
      </c>
    </row>
    <row r="341" spans="1:14" s="4" customFormat="1" ht="15.75" customHeight="1" x14ac:dyDescent="0.25">
      <c r="A341" s="49">
        <v>8123.5</v>
      </c>
      <c r="B341" s="32" t="s">
        <v>19</v>
      </c>
      <c r="C341" s="32" t="s">
        <v>20</v>
      </c>
      <c r="D341" s="32" t="s">
        <v>21</v>
      </c>
      <c r="E341" s="32" t="s">
        <v>22</v>
      </c>
      <c r="F341" s="46" t="s">
        <v>653</v>
      </c>
      <c r="G341" s="32" t="s">
        <v>654</v>
      </c>
      <c r="H341" s="32" t="s">
        <v>1466</v>
      </c>
      <c r="I341" s="34">
        <v>1</v>
      </c>
      <c r="J341" s="32" t="s">
        <v>27</v>
      </c>
      <c r="K341" s="32" t="s">
        <v>28</v>
      </c>
      <c r="L341" s="32" t="s">
        <v>29</v>
      </c>
      <c r="M341" s="32" t="s">
        <v>656</v>
      </c>
      <c r="N341" s="32" t="s">
        <v>1120</v>
      </c>
    </row>
    <row r="342" spans="1:14" s="4" customFormat="1" ht="15.75" customHeight="1" x14ac:dyDescent="0.25">
      <c r="A342" s="49">
        <v>3467</v>
      </c>
      <c r="B342" s="32" t="s">
        <v>19</v>
      </c>
      <c r="C342" s="32" t="s">
        <v>20</v>
      </c>
      <c r="D342" s="32" t="s">
        <v>86</v>
      </c>
      <c r="E342" s="32" t="s">
        <v>22</v>
      </c>
      <c r="F342" s="46" t="s">
        <v>223</v>
      </c>
      <c r="G342" s="32" t="s">
        <v>423</v>
      </c>
      <c r="H342" s="32" t="s">
        <v>1433</v>
      </c>
      <c r="I342" s="34">
        <v>2</v>
      </c>
      <c r="J342" s="32" t="s">
        <v>89</v>
      </c>
      <c r="K342" s="32" t="s">
        <v>28</v>
      </c>
      <c r="L342" s="32" t="s">
        <v>29</v>
      </c>
      <c r="M342" s="32" t="s">
        <v>226</v>
      </c>
      <c r="N342" s="32" t="s">
        <v>1121</v>
      </c>
    </row>
    <row r="343" spans="1:14" s="4" customFormat="1" ht="15.75" customHeight="1" x14ac:dyDescent="0.25">
      <c r="A343" s="49">
        <v>4229.5</v>
      </c>
      <c r="B343" s="32" t="s">
        <v>19</v>
      </c>
      <c r="C343" s="32" t="s">
        <v>20</v>
      </c>
      <c r="D343" s="32" t="s">
        <v>86</v>
      </c>
      <c r="E343" s="32" t="s">
        <v>22</v>
      </c>
      <c r="F343" s="46" t="s">
        <v>223</v>
      </c>
      <c r="G343" s="32" t="s">
        <v>258</v>
      </c>
      <c r="H343" s="32" t="s">
        <v>1403</v>
      </c>
      <c r="I343" s="34">
        <v>2</v>
      </c>
      <c r="J343" s="32" t="s">
        <v>89</v>
      </c>
      <c r="K343" s="32" t="s">
        <v>28</v>
      </c>
      <c r="L343" s="32" t="s">
        <v>29</v>
      </c>
      <c r="M343" s="32" t="s">
        <v>226</v>
      </c>
      <c r="N343" s="32" t="s">
        <v>1122</v>
      </c>
    </row>
    <row r="344" spans="1:14" s="4" customFormat="1" ht="15.75" customHeight="1" x14ac:dyDescent="0.25">
      <c r="A344" s="49">
        <v>3556</v>
      </c>
      <c r="B344" s="32" t="s">
        <v>19</v>
      </c>
      <c r="C344" s="32" t="s">
        <v>20</v>
      </c>
      <c r="D344" s="32" t="s">
        <v>21</v>
      </c>
      <c r="E344" s="32" t="s">
        <v>22</v>
      </c>
      <c r="F344" s="46" t="s">
        <v>23</v>
      </c>
      <c r="G344" s="32" t="s">
        <v>24</v>
      </c>
      <c r="H344" s="32" t="s">
        <v>1364</v>
      </c>
      <c r="I344" s="34">
        <v>2</v>
      </c>
      <c r="J344" s="32" t="s">
        <v>27</v>
      </c>
      <c r="K344" s="32" t="s">
        <v>28</v>
      </c>
      <c r="L344" s="32" t="s">
        <v>29</v>
      </c>
      <c r="M344" s="32" t="s">
        <v>30</v>
      </c>
      <c r="N344" s="32" t="s">
        <v>1123</v>
      </c>
    </row>
    <row r="345" spans="1:14" s="4" customFormat="1" ht="15.75" customHeight="1" x14ac:dyDescent="0.25">
      <c r="A345" s="49">
        <v>4423</v>
      </c>
      <c r="B345" s="32" t="s">
        <v>19</v>
      </c>
      <c r="C345" s="32" t="s">
        <v>20</v>
      </c>
      <c r="D345" s="32" t="s">
        <v>21</v>
      </c>
      <c r="E345" s="32" t="s">
        <v>22</v>
      </c>
      <c r="F345" s="46" t="s">
        <v>682</v>
      </c>
      <c r="G345" s="32" t="s">
        <v>683</v>
      </c>
      <c r="H345" s="32" t="s">
        <v>1469</v>
      </c>
      <c r="I345" s="34">
        <v>2</v>
      </c>
      <c r="J345" s="32" t="s">
        <v>27</v>
      </c>
      <c r="K345" s="32" t="s">
        <v>28</v>
      </c>
      <c r="L345" s="32" t="s">
        <v>29</v>
      </c>
      <c r="M345" s="32" t="s">
        <v>685</v>
      </c>
      <c r="N345" s="32" t="s">
        <v>1124</v>
      </c>
    </row>
    <row r="346" spans="1:14" s="4" customFormat="1" ht="15.75" customHeight="1" x14ac:dyDescent="0.25">
      <c r="A346" s="49">
        <v>3340.5</v>
      </c>
      <c r="B346" s="32" t="s">
        <v>19</v>
      </c>
      <c r="C346" s="32" t="s">
        <v>20</v>
      </c>
      <c r="D346" s="32" t="s">
        <v>21</v>
      </c>
      <c r="E346" s="32" t="s">
        <v>22</v>
      </c>
      <c r="F346" s="46" t="s">
        <v>49</v>
      </c>
      <c r="G346" s="32" t="s">
        <v>50</v>
      </c>
      <c r="H346" s="32" t="s">
        <v>1368</v>
      </c>
      <c r="I346" s="34">
        <v>2</v>
      </c>
      <c r="J346" s="32" t="s">
        <v>27</v>
      </c>
      <c r="K346" s="32" t="s">
        <v>28</v>
      </c>
      <c r="L346" s="32" t="s">
        <v>29</v>
      </c>
      <c r="M346" s="32" t="s">
        <v>52</v>
      </c>
      <c r="N346" s="32" t="s">
        <v>1125</v>
      </c>
    </row>
    <row r="347" spans="1:14" s="4" customFormat="1" ht="15.75" customHeight="1" x14ac:dyDescent="0.25">
      <c r="A347" s="49">
        <v>5317</v>
      </c>
      <c r="B347" s="32" t="s">
        <v>19</v>
      </c>
      <c r="C347" s="32" t="s">
        <v>20</v>
      </c>
      <c r="D347" s="32" t="s">
        <v>21</v>
      </c>
      <c r="E347" s="32" t="s">
        <v>22</v>
      </c>
      <c r="F347" s="46" t="s">
        <v>167</v>
      </c>
      <c r="G347" s="32" t="s">
        <v>688</v>
      </c>
      <c r="H347" s="32" t="s">
        <v>1470</v>
      </c>
      <c r="I347" s="34">
        <v>2</v>
      </c>
      <c r="J347" s="32" t="s">
        <v>27</v>
      </c>
      <c r="K347" s="32" t="s">
        <v>28</v>
      </c>
      <c r="L347" s="32" t="s">
        <v>29</v>
      </c>
      <c r="M347" s="32" t="s">
        <v>170</v>
      </c>
      <c r="N347" s="32" t="s">
        <v>1126</v>
      </c>
    </row>
    <row r="348" spans="1:14" s="4" customFormat="1" ht="15.75" customHeight="1" x14ac:dyDescent="0.25">
      <c r="A348" s="49">
        <v>2206.5</v>
      </c>
      <c r="B348" s="32" t="s">
        <v>19</v>
      </c>
      <c r="C348" s="32" t="s">
        <v>20</v>
      </c>
      <c r="D348" s="32" t="s">
        <v>86</v>
      </c>
      <c r="E348" s="32" t="s">
        <v>22</v>
      </c>
      <c r="F348" s="46" t="s">
        <v>324</v>
      </c>
      <c r="G348" s="32" t="s">
        <v>325</v>
      </c>
      <c r="H348" s="32" t="s">
        <v>1414</v>
      </c>
      <c r="I348" s="34">
        <v>3</v>
      </c>
      <c r="J348" s="32" t="s">
        <v>89</v>
      </c>
      <c r="K348" s="32" t="s">
        <v>28</v>
      </c>
      <c r="L348" s="32" t="s">
        <v>29</v>
      </c>
      <c r="M348" s="32" t="s">
        <v>327</v>
      </c>
      <c r="N348" s="32" t="s">
        <v>1127</v>
      </c>
    </row>
    <row r="349" spans="1:14" s="4" customFormat="1" ht="15.75" customHeight="1" x14ac:dyDescent="0.25">
      <c r="A349" s="49">
        <v>6502.5</v>
      </c>
      <c r="B349" s="32" t="s">
        <v>19</v>
      </c>
      <c r="C349" s="32" t="s">
        <v>20</v>
      </c>
      <c r="D349" s="32" t="s">
        <v>86</v>
      </c>
      <c r="E349" s="32" t="s">
        <v>22</v>
      </c>
      <c r="F349" s="46" t="s">
        <v>180</v>
      </c>
      <c r="G349" s="32" t="s">
        <v>622</v>
      </c>
      <c r="H349" s="32" t="s">
        <v>1462</v>
      </c>
      <c r="I349" s="34">
        <v>3</v>
      </c>
      <c r="J349" s="32" t="s">
        <v>89</v>
      </c>
      <c r="K349" s="32" t="s">
        <v>28</v>
      </c>
      <c r="L349" s="32" t="s">
        <v>29</v>
      </c>
      <c r="M349" s="32" t="s">
        <v>183</v>
      </c>
      <c r="N349" s="32" t="s">
        <v>1128</v>
      </c>
    </row>
    <row r="350" spans="1:14" s="4" customFormat="1" ht="15.75" customHeight="1" x14ac:dyDescent="0.25">
      <c r="A350" s="49">
        <v>485.1</v>
      </c>
      <c r="B350" s="32" t="s">
        <v>19</v>
      </c>
      <c r="C350" s="32" t="s">
        <v>20</v>
      </c>
      <c r="D350" s="32" t="s">
        <v>86</v>
      </c>
      <c r="E350" s="32" t="s">
        <v>22</v>
      </c>
      <c r="F350" s="46" t="s">
        <v>186</v>
      </c>
      <c r="G350" s="32" t="s">
        <v>1130</v>
      </c>
      <c r="H350" s="32" t="s">
        <v>1543</v>
      </c>
      <c r="I350" s="34">
        <v>3</v>
      </c>
      <c r="J350" s="32" t="s">
        <v>89</v>
      </c>
      <c r="K350" s="32" t="s">
        <v>28</v>
      </c>
      <c r="L350" s="32" t="s">
        <v>29</v>
      </c>
      <c r="M350" s="32" t="s">
        <v>190</v>
      </c>
      <c r="N350" s="32" t="s">
        <v>1132</v>
      </c>
    </row>
    <row r="351" spans="1:14" s="4" customFormat="1" ht="15.75" customHeight="1" x14ac:dyDescent="0.25">
      <c r="A351" s="49">
        <v>519.75</v>
      </c>
      <c r="B351" s="32" t="s">
        <v>19</v>
      </c>
      <c r="C351" s="32" t="s">
        <v>20</v>
      </c>
      <c r="D351" s="32" t="s">
        <v>86</v>
      </c>
      <c r="E351" s="32" t="s">
        <v>22</v>
      </c>
      <c r="F351" s="46" t="s">
        <v>186</v>
      </c>
      <c r="G351" s="32" t="s">
        <v>1134</v>
      </c>
      <c r="H351" s="32" t="s">
        <v>1544</v>
      </c>
      <c r="I351" s="34">
        <v>3</v>
      </c>
      <c r="J351" s="32" t="s">
        <v>89</v>
      </c>
      <c r="K351" s="32" t="s">
        <v>28</v>
      </c>
      <c r="L351" s="32" t="s">
        <v>29</v>
      </c>
      <c r="M351" s="32" t="s">
        <v>190</v>
      </c>
      <c r="N351" s="32" t="s">
        <v>1136</v>
      </c>
    </row>
    <row r="352" spans="1:14" s="4" customFormat="1" ht="15.75" customHeight="1" x14ac:dyDescent="0.25">
      <c r="A352" s="49">
        <v>3867.5</v>
      </c>
      <c r="B352" s="32" t="s">
        <v>19</v>
      </c>
      <c r="C352" s="32" t="s">
        <v>20</v>
      </c>
      <c r="D352" s="32" t="s">
        <v>21</v>
      </c>
      <c r="E352" s="32" t="s">
        <v>22</v>
      </c>
      <c r="F352" s="46" t="s">
        <v>223</v>
      </c>
      <c r="G352" s="32" t="s">
        <v>626</v>
      </c>
      <c r="H352" s="32" t="s">
        <v>1463</v>
      </c>
      <c r="I352" s="34">
        <v>3</v>
      </c>
      <c r="J352" s="32" t="s">
        <v>27</v>
      </c>
      <c r="K352" s="32" t="s">
        <v>28</v>
      </c>
      <c r="L352" s="32" t="s">
        <v>29</v>
      </c>
      <c r="M352" s="32" t="s">
        <v>226</v>
      </c>
      <c r="N352" s="32" t="s">
        <v>1137</v>
      </c>
    </row>
    <row r="353" spans="1:14" s="4" customFormat="1" ht="15.75" customHeight="1" x14ac:dyDescent="0.25">
      <c r="A353" s="49">
        <v>3902.5</v>
      </c>
      <c r="B353" s="32" t="s">
        <v>19</v>
      </c>
      <c r="C353" s="32" t="s">
        <v>20</v>
      </c>
      <c r="D353" s="32" t="s">
        <v>21</v>
      </c>
      <c r="E353" s="32" t="s">
        <v>22</v>
      </c>
      <c r="F353" s="46" t="s">
        <v>75</v>
      </c>
      <c r="G353" s="32" t="s">
        <v>568</v>
      </c>
      <c r="H353" s="32" t="s">
        <v>1457</v>
      </c>
      <c r="I353" s="34">
        <v>3</v>
      </c>
      <c r="J353" s="32" t="s">
        <v>27</v>
      </c>
      <c r="K353" s="32" t="s">
        <v>28</v>
      </c>
      <c r="L353" s="32" t="s">
        <v>29</v>
      </c>
      <c r="M353" s="32" t="s">
        <v>78</v>
      </c>
      <c r="N353" s="32" t="s">
        <v>1138</v>
      </c>
    </row>
    <row r="354" spans="1:14" s="4" customFormat="1" ht="15.75" customHeight="1" x14ac:dyDescent="0.25">
      <c r="A354" s="49">
        <v>3250</v>
      </c>
      <c r="B354" s="32" t="s">
        <v>19</v>
      </c>
      <c r="C354" s="32" t="s">
        <v>20</v>
      </c>
      <c r="D354" s="32" t="s">
        <v>21</v>
      </c>
      <c r="E354" s="32" t="s">
        <v>22</v>
      </c>
      <c r="F354" s="46" t="s">
        <v>39</v>
      </c>
      <c r="G354" s="32" t="s">
        <v>213</v>
      </c>
      <c r="H354" s="32" t="s">
        <v>1395</v>
      </c>
      <c r="I354" s="34">
        <v>3</v>
      </c>
      <c r="J354" s="32" t="s">
        <v>27</v>
      </c>
      <c r="K354" s="32" t="s">
        <v>28</v>
      </c>
      <c r="L354" s="32" t="s">
        <v>29</v>
      </c>
      <c r="M354" s="32" t="s">
        <v>42</v>
      </c>
      <c r="N354" s="32" t="s">
        <v>1139</v>
      </c>
    </row>
    <row r="355" spans="1:14" s="4" customFormat="1" ht="15.75" customHeight="1" x14ac:dyDescent="0.25">
      <c r="A355" s="49">
        <v>4271.5</v>
      </c>
      <c r="B355" s="32" t="s">
        <v>19</v>
      </c>
      <c r="C355" s="32" t="s">
        <v>20</v>
      </c>
      <c r="D355" s="32" t="s">
        <v>21</v>
      </c>
      <c r="E355" s="32" t="s">
        <v>22</v>
      </c>
      <c r="F355" s="46" t="s">
        <v>314</v>
      </c>
      <c r="G355" s="32" t="s">
        <v>1140</v>
      </c>
      <c r="H355" s="32" t="s">
        <v>1545</v>
      </c>
      <c r="I355" s="34">
        <v>3</v>
      </c>
      <c r="J355" s="32" t="s">
        <v>27</v>
      </c>
      <c r="K355" s="32" t="s">
        <v>28</v>
      </c>
      <c r="L355" s="32" t="s">
        <v>29</v>
      </c>
      <c r="M355" s="32" t="s">
        <v>317</v>
      </c>
      <c r="N355" s="32" t="s">
        <v>1142</v>
      </c>
    </row>
    <row r="356" spans="1:14" s="4" customFormat="1" ht="15.75" customHeight="1" x14ac:dyDescent="0.25">
      <c r="A356" s="49">
        <v>5088</v>
      </c>
      <c r="B356" s="32" t="s">
        <v>19</v>
      </c>
      <c r="C356" s="32" t="s">
        <v>20</v>
      </c>
      <c r="D356" s="32" t="s">
        <v>21</v>
      </c>
      <c r="E356" s="32" t="s">
        <v>22</v>
      </c>
      <c r="F356" s="46" t="s">
        <v>596</v>
      </c>
      <c r="G356" s="32" t="s">
        <v>597</v>
      </c>
      <c r="H356" s="32" t="s">
        <v>1459</v>
      </c>
      <c r="I356" s="34">
        <v>3</v>
      </c>
      <c r="J356" s="32" t="s">
        <v>27</v>
      </c>
      <c r="K356" s="32" t="s">
        <v>28</v>
      </c>
      <c r="L356" s="32" t="s">
        <v>29</v>
      </c>
      <c r="M356" s="32" t="s">
        <v>599</v>
      </c>
      <c r="N356" s="32" t="s">
        <v>1143</v>
      </c>
    </row>
    <row r="357" spans="1:14" s="4" customFormat="1" ht="15.75" customHeight="1" x14ac:dyDescent="0.25">
      <c r="A357" s="49">
        <v>5317</v>
      </c>
      <c r="B357" s="32" t="s">
        <v>19</v>
      </c>
      <c r="C357" s="32" t="s">
        <v>20</v>
      </c>
      <c r="D357" s="32" t="s">
        <v>21</v>
      </c>
      <c r="E357" s="32" t="s">
        <v>22</v>
      </c>
      <c r="F357" s="46" t="s">
        <v>167</v>
      </c>
      <c r="G357" s="32" t="s">
        <v>292</v>
      </c>
      <c r="H357" s="32" t="s">
        <v>1409</v>
      </c>
      <c r="I357" s="34">
        <v>3</v>
      </c>
      <c r="J357" s="32" t="s">
        <v>27</v>
      </c>
      <c r="K357" s="32" t="s">
        <v>28</v>
      </c>
      <c r="L357" s="32" t="s">
        <v>29</v>
      </c>
      <c r="M357" s="32" t="s">
        <v>170</v>
      </c>
      <c r="N357" s="32" t="s">
        <v>1144</v>
      </c>
    </row>
    <row r="358" spans="1:14" s="4" customFormat="1" ht="15.75" customHeight="1" x14ac:dyDescent="0.25">
      <c r="A358" s="49">
        <v>4534</v>
      </c>
      <c r="B358" s="32" t="s">
        <v>19</v>
      </c>
      <c r="C358" s="32" t="s">
        <v>20</v>
      </c>
      <c r="D358" s="32" t="s">
        <v>21</v>
      </c>
      <c r="E358" s="32" t="s">
        <v>22</v>
      </c>
      <c r="F358" s="46" t="s">
        <v>61</v>
      </c>
      <c r="G358" s="32" t="s">
        <v>62</v>
      </c>
      <c r="H358" s="32" t="s">
        <v>1370</v>
      </c>
      <c r="I358" s="34">
        <v>4</v>
      </c>
      <c r="J358" s="32" t="s">
        <v>27</v>
      </c>
      <c r="K358" s="32" t="s">
        <v>28</v>
      </c>
      <c r="L358" s="32" t="s">
        <v>29</v>
      </c>
      <c r="M358" s="32" t="s">
        <v>65</v>
      </c>
      <c r="N358" s="32" t="s">
        <v>1145</v>
      </c>
    </row>
    <row r="359" spans="1:14" s="4" customFormat="1" ht="15.75" customHeight="1" x14ac:dyDescent="0.25">
      <c r="A359" s="49">
        <v>4536</v>
      </c>
      <c r="B359" s="32" t="s">
        <v>19</v>
      </c>
      <c r="C359" s="32" t="s">
        <v>20</v>
      </c>
      <c r="D359" s="32" t="s">
        <v>21</v>
      </c>
      <c r="E359" s="32" t="s">
        <v>22</v>
      </c>
      <c r="F359" s="46" t="s">
        <v>110</v>
      </c>
      <c r="G359" s="35" t="s">
        <v>111</v>
      </c>
      <c r="H359" s="32" t="s">
        <v>1378</v>
      </c>
      <c r="I359" s="34">
        <v>4</v>
      </c>
      <c r="J359" s="32" t="s">
        <v>27</v>
      </c>
      <c r="K359" s="32" t="s">
        <v>28</v>
      </c>
      <c r="L359" s="32" t="s">
        <v>29</v>
      </c>
      <c r="M359" s="32" t="s">
        <v>113</v>
      </c>
      <c r="N359" s="35" t="s">
        <v>1146</v>
      </c>
    </row>
    <row r="360" spans="1:14" s="4" customFormat="1" ht="15.75" customHeight="1" x14ac:dyDescent="0.25">
      <c r="A360" s="49">
        <v>3560.5</v>
      </c>
      <c r="B360" s="32" t="s">
        <v>19</v>
      </c>
      <c r="C360" s="32" t="s">
        <v>20</v>
      </c>
      <c r="D360" s="32" t="s">
        <v>21</v>
      </c>
      <c r="E360" s="32" t="s">
        <v>22</v>
      </c>
      <c r="F360" s="46" t="s">
        <v>382</v>
      </c>
      <c r="G360" s="32" t="s">
        <v>562</v>
      </c>
      <c r="H360" s="32" t="s">
        <v>1456</v>
      </c>
      <c r="I360" s="34">
        <v>4</v>
      </c>
      <c r="J360" s="32" t="s">
        <v>27</v>
      </c>
      <c r="K360" s="32" t="s">
        <v>28</v>
      </c>
      <c r="L360" s="32" t="s">
        <v>29</v>
      </c>
      <c r="M360" s="32" t="s">
        <v>385</v>
      </c>
      <c r="N360" s="32" t="s">
        <v>1147</v>
      </c>
    </row>
    <row r="361" spans="1:14" s="4" customFormat="1" ht="15.75" customHeight="1" x14ac:dyDescent="0.25">
      <c r="A361" s="49">
        <v>8123.5</v>
      </c>
      <c r="B361" s="32" t="s">
        <v>19</v>
      </c>
      <c r="C361" s="32" t="s">
        <v>20</v>
      </c>
      <c r="D361" s="32" t="s">
        <v>21</v>
      </c>
      <c r="E361" s="32" t="s">
        <v>22</v>
      </c>
      <c r="F361" s="46" t="s">
        <v>653</v>
      </c>
      <c r="G361" s="32" t="s">
        <v>654</v>
      </c>
      <c r="H361" s="32" t="s">
        <v>1466</v>
      </c>
      <c r="I361" s="34">
        <v>4</v>
      </c>
      <c r="J361" s="32" t="s">
        <v>27</v>
      </c>
      <c r="K361" s="32" t="s">
        <v>28</v>
      </c>
      <c r="L361" s="32" t="s">
        <v>29</v>
      </c>
      <c r="M361" s="32" t="s">
        <v>656</v>
      </c>
      <c r="N361" s="32" t="s">
        <v>1148</v>
      </c>
    </row>
    <row r="362" spans="1:14" s="4" customFormat="1" ht="15.75" customHeight="1" x14ac:dyDescent="0.25">
      <c r="A362" s="49">
        <v>431.2</v>
      </c>
      <c r="B362" s="32" t="s">
        <v>19</v>
      </c>
      <c r="C362" s="32" t="s">
        <v>20</v>
      </c>
      <c r="D362" s="32" t="s">
        <v>86</v>
      </c>
      <c r="E362" s="32" t="s">
        <v>22</v>
      </c>
      <c r="F362" s="46" t="s">
        <v>186</v>
      </c>
      <c r="G362" s="32" t="s">
        <v>1134</v>
      </c>
      <c r="H362" s="32" t="s">
        <v>1544</v>
      </c>
      <c r="I362" s="34">
        <v>5</v>
      </c>
      <c r="J362" s="32" t="s">
        <v>89</v>
      </c>
      <c r="K362" s="32" t="s">
        <v>28</v>
      </c>
      <c r="L362" s="32" t="s">
        <v>29</v>
      </c>
      <c r="M362" s="32" t="s">
        <v>190</v>
      </c>
      <c r="N362" s="32" t="s">
        <v>1150</v>
      </c>
    </row>
    <row r="363" spans="1:14" s="4" customFormat="1" ht="15.75" customHeight="1" x14ac:dyDescent="0.25">
      <c r="A363" s="49">
        <v>-1574.39</v>
      </c>
      <c r="B363" s="32" t="s">
        <v>19</v>
      </c>
      <c r="C363" s="32" t="s">
        <v>20</v>
      </c>
      <c r="D363" s="32" t="s">
        <v>21</v>
      </c>
      <c r="E363" s="32" t="s">
        <v>22</v>
      </c>
      <c r="F363" s="46" t="s">
        <v>110</v>
      </c>
      <c r="G363" s="32" t="s">
        <v>1152</v>
      </c>
      <c r="H363" s="32" t="s">
        <v>1546</v>
      </c>
      <c r="I363" s="34">
        <v>5</v>
      </c>
      <c r="J363" s="32" t="s">
        <v>27</v>
      </c>
      <c r="K363" s="32" t="s">
        <v>28</v>
      </c>
      <c r="L363" s="32" t="s">
        <v>29</v>
      </c>
      <c r="M363" s="32" t="s">
        <v>113</v>
      </c>
      <c r="N363" s="32" t="s">
        <v>1154</v>
      </c>
    </row>
    <row r="364" spans="1:14" s="4" customFormat="1" ht="15.75" customHeight="1" x14ac:dyDescent="0.25">
      <c r="A364" s="49">
        <v>3902.5</v>
      </c>
      <c r="B364" s="32" t="s">
        <v>19</v>
      </c>
      <c r="C364" s="32" t="s">
        <v>20</v>
      </c>
      <c r="D364" s="32" t="s">
        <v>21</v>
      </c>
      <c r="E364" s="32" t="s">
        <v>22</v>
      </c>
      <c r="F364" s="46" t="s">
        <v>33</v>
      </c>
      <c r="G364" s="32" t="s">
        <v>34</v>
      </c>
      <c r="H364" s="32" t="s">
        <v>1365</v>
      </c>
      <c r="I364" s="34">
        <v>5</v>
      </c>
      <c r="J364" s="32" t="s">
        <v>27</v>
      </c>
      <c r="K364" s="32" t="s">
        <v>28</v>
      </c>
      <c r="L364" s="32" t="s">
        <v>29</v>
      </c>
      <c r="M364" s="32" t="s">
        <v>36</v>
      </c>
      <c r="N364" s="32" t="s">
        <v>1155</v>
      </c>
    </row>
    <row r="365" spans="1:14" s="4" customFormat="1" ht="15.75" customHeight="1" x14ac:dyDescent="0.25">
      <c r="A365" s="49">
        <v>4976.5</v>
      </c>
      <c r="B365" s="32" t="s">
        <v>19</v>
      </c>
      <c r="C365" s="32" t="s">
        <v>20</v>
      </c>
      <c r="D365" s="32" t="s">
        <v>21</v>
      </c>
      <c r="E365" s="32" t="s">
        <v>22</v>
      </c>
      <c r="F365" s="46" t="s">
        <v>471</v>
      </c>
      <c r="G365" s="32" t="s">
        <v>472</v>
      </c>
      <c r="H365" s="32" t="s">
        <v>1440</v>
      </c>
      <c r="I365" s="34">
        <v>5</v>
      </c>
      <c r="J365" s="32" t="s">
        <v>27</v>
      </c>
      <c r="K365" s="32" t="s">
        <v>28</v>
      </c>
      <c r="L365" s="32" t="s">
        <v>29</v>
      </c>
      <c r="M365" s="32" t="s">
        <v>474</v>
      </c>
      <c r="N365" s="32" t="s">
        <v>1156</v>
      </c>
    </row>
    <row r="366" spans="1:14" s="4" customFormat="1" ht="15.75" customHeight="1" x14ac:dyDescent="0.25">
      <c r="A366" s="49">
        <v>2665.5</v>
      </c>
      <c r="B366" s="32" t="s">
        <v>19</v>
      </c>
      <c r="C366" s="32" t="s">
        <v>20</v>
      </c>
      <c r="D366" s="32" t="s">
        <v>21</v>
      </c>
      <c r="E366" s="32" t="s">
        <v>22</v>
      </c>
      <c r="F366" s="46" t="s">
        <v>334</v>
      </c>
      <c r="G366" s="32" t="s">
        <v>335</v>
      </c>
      <c r="H366" s="32" t="s">
        <v>1416</v>
      </c>
      <c r="I366" s="34">
        <v>5</v>
      </c>
      <c r="J366" s="32" t="s">
        <v>27</v>
      </c>
      <c r="K366" s="32" t="s">
        <v>28</v>
      </c>
      <c r="L366" s="32" t="s">
        <v>29</v>
      </c>
      <c r="M366" s="32" t="s">
        <v>337</v>
      </c>
      <c r="N366" s="32" t="s">
        <v>1157</v>
      </c>
    </row>
    <row r="367" spans="1:14" s="4" customFormat="1" ht="15.75" customHeight="1" x14ac:dyDescent="0.25">
      <c r="A367" s="49">
        <v>3166.5</v>
      </c>
      <c r="B367" s="32" t="s">
        <v>19</v>
      </c>
      <c r="C367" s="32" t="s">
        <v>20</v>
      </c>
      <c r="D367" s="32" t="s">
        <v>21</v>
      </c>
      <c r="E367" s="32" t="s">
        <v>22</v>
      </c>
      <c r="F367" s="46" t="s">
        <v>152</v>
      </c>
      <c r="G367" s="32" t="s">
        <v>436</v>
      </c>
      <c r="H367" s="32" t="s">
        <v>1435</v>
      </c>
      <c r="I367" s="34">
        <v>5</v>
      </c>
      <c r="J367" s="32" t="s">
        <v>27</v>
      </c>
      <c r="K367" s="32" t="s">
        <v>28</v>
      </c>
      <c r="L367" s="32" t="s">
        <v>29</v>
      </c>
      <c r="M367" s="32" t="s">
        <v>155</v>
      </c>
      <c r="N367" s="32" t="s">
        <v>1158</v>
      </c>
    </row>
    <row r="368" spans="1:14" s="4" customFormat="1" ht="15.75" customHeight="1" x14ac:dyDescent="0.25">
      <c r="A368" s="49">
        <v>4271.5</v>
      </c>
      <c r="B368" s="32" t="s">
        <v>19</v>
      </c>
      <c r="C368" s="32" t="s">
        <v>20</v>
      </c>
      <c r="D368" s="32" t="s">
        <v>21</v>
      </c>
      <c r="E368" s="32" t="s">
        <v>22</v>
      </c>
      <c r="F368" s="46" t="s">
        <v>116</v>
      </c>
      <c r="G368" s="32" t="s">
        <v>117</v>
      </c>
      <c r="H368" s="32" t="s">
        <v>1379</v>
      </c>
      <c r="I368" s="34">
        <v>5</v>
      </c>
      <c r="J368" s="32" t="s">
        <v>27</v>
      </c>
      <c r="K368" s="32" t="s">
        <v>28</v>
      </c>
      <c r="L368" s="32" t="s">
        <v>29</v>
      </c>
      <c r="M368" s="32" t="s">
        <v>119</v>
      </c>
      <c r="N368" s="32" t="s">
        <v>1159</v>
      </c>
    </row>
    <row r="369" spans="1:14" s="4" customFormat="1" ht="15.75" customHeight="1" x14ac:dyDescent="0.25">
      <c r="A369" s="49">
        <v>504.35</v>
      </c>
      <c r="B369" s="32" t="s">
        <v>19</v>
      </c>
      <c r="C369" s="32" t="s">
        <v>20</v>
      </c>
      <c r="D369" s="32" t="s">
        <v>86</v>
      </c>
      <c r="E369" s="32" t="s">
        <v>22</v>
      </c>
      <c r="F369" s="46" t="s">
        <v>186</v>
      </c>
      <c r="G369" s="32" t="s">
        <v>1134</v>
      </c>
      <c r="H369" s="32" t="s">
        <v>1544</v>
      </c>
      <c r="I369" s="34">
        <v>6</v>
      </c>
      <c r="J369" s="32" t="s">
        <v>89</v>
      </c>
      <c r="K369" s="32" t="s">
        <v>28</v>
      </c>
      <c r="L369" s="32" t="s">
        <v>29</v>
      </c>
      <c r="M369" s="32" t="s">
        <v>190</v>
      </c>
      <c r="N369" s="32" t="s">
        <v>1161</v>
      </c>
    </row>
    <row r="370" spans="1:14" s="4" customFormat="1" ht="15.75" customHeight="1" x14ac:dyDescent="0.25">
      <c r="A370" s="49">
        <v>-316.88</v>
      </c>
      <c r="B370" s="32" t="s">
        <v>19</v>
      </c>
      <c r="C370" s="32" t="s">
        <v>20</v>
      </c>
      <c r="D370" s="32" t="s">
        <v>21</v>
      </c>
      <c r="E370" s="32" t="s">
        <v>22</v>
      </c>
      <c r="F370" s="46" t="s">
        <v>33</v>
      </c>
      <c r="G370" s="32" t="s">
        <v>34</v>
      </c>
      <c r="H370" s="32" t="s">
        <v>1365</v>
      </c>
      <c r="I370" s="34">
        <v>6</v>
      </c>
      <c r="J370" s="32" t="s">
        <v>27</v>
      </c>
      <c r="K370" s="32" t="s">
        <v>28</v>
      </c>
      <c r="L370" s="32" t="s">
        <v>29</v>
      </c>
      <c r="M370" s="32" t="s">
        <v>36</v>
      </c>
      <c r="N370" s="32" t="s">
        <v>1163</v>
      </c>
    </row>
    <row r="371" spans="1:14" s="4" customFormat="1" ht="15.75" customHeight="1" x14ac:dyDescent="0.25">
      <c r="A371" s="49">
        <v>-763.4</v>
      </c>
      <c r="B371" s="32" t="s">
        <v>19</v>
      </c>
      <c r="C371" s="32" t="s">
        <v>20</v>
      </c>
      <c r="D371" s="32" t="s">
        <v>21</v>
      </c>
      <c r="E371" s="32" t="s">
        <v>22</v>
      </c>
      <c r="F371" s="46" t="s">
        <v>61</v>
      </c>
      <c r="G371" s="32" t="s">
        <v>330</v>
      </c>
      <c r="H371" s="32" t="s">
        <v>1415</v>
      </c>
      <c r="I371" s="34">
        <v>6</v>
      </c>
      <c r="J371" s="32" t="s">
        <v>27</v>
      </c>
      <c r="K371" s="32" t="s">
        <v>28</v>
      </c>
      <c r="L371" s="32" t="s">
        <v>29</v>
      </c>
      <c r="M371" s="32" t="s">
        <v>65</v>
      </c>
      <c r="N371" s="32" t="s">
        <v>1165</v>
      </c>
    </row>
    <row r="372" spans="1:14" s="4" customFormat="1" ht="15.75" customHeight="1" x14ac:dyDescent="0.25">
      <c r="A372" s="49">
        <v>3902.5</v>
      </c>
      <c r="B372" s="32" t="s">
        <v>19</v>
      </c>
      <c r="C372" s="32" t="s">
        <v>20</v>
      </c>
      <c r="D372" s="32" t="s">
        <v>21</v>
      </c>
      <c r="E372" s="32" t="s">
        <v>22</v>
      </c>
      <c r="F372" s="46" t="s">
        <v>75</v>
      </c>
      <c r="G372" s="32" t="s">
        <v>568</v>
      </c>
      <c r="H372" s="32" t="s">
        <v>1457</v>
      </c>
      <c r="I372" s="34">
        <v>6</v>
      </c>
      <c r="J372" s="32" t="s">
        <v>27</v>
      </c>
      <c r="K372" s="32" t="s">
        <v>28</v>
      </c>
      <c r="L372" s="32" t="s">
        <v>29</v>
      </c>
      <c r="M372" s="32" t="s">
        <v>78</v>
      </c>
      <c r="N372" s="32" t="s">
        <v>1166</v>
      </c>
    </row>
    <row r="373" spans="1:14" s="4" customFormat="1" ht="15.75" customHeight="1" x14ac:dyDescent="0.25">
      <c r="A373" s="49">
        <v>3160.5</v>
      </c>
      <c r="B373" s="32" t="s">
        <v>19</v>
      </c>
      <c r="C373" s="32" t="s">
        <v>20</v>
      </c>
      <c r="D373" s="32" t="s">
        <v>21</v>
      </c>
      <c r="E373" s="32" t="s">
        <v>22</v>
      </c>
      <c r="F373" s="46" t="s">
        <v>39</v>
      </c>
      <c r="G373" s="32" t="s">
        <v>493</v>
      </c>
      <c r="H373" s="32" t="s">
        <v>1444</v>
      </c>
      <c r="I373" s="34">
        <v>6</v>
      </c>
      <c r="J373" s="32" t="s">
        <v>27</v>
      </c>
      <c r="K373" s="32" t="s">
        <v>28</v>
      </c>
      <c r="L373" s="32" t="s">
        <v>29</v>
      </c>
      <c r="M373" s="32" t="s">
        <v>42</v>
      </c>
      <c r="N373" s="32" t="s">
        <v>1167</v>
      </c>
    </row>
    <row r="374" spans="1:14" s="4" customFormat="1" ht="15.75" customHeight="1" x14ac:dyDescent="0.25">
      <c r="A374" s="49">
        <v>3166.5</v>
      </c>
      <c r="B374" s="32" t="s">
        <v>19</v>
      </c>
      <c r="C374" s="32" t="s">
        <v>20</v>
      </c>
      <c r="D374" s="32" t="s">
        <v>21</v>
      </c>
      <c r="E374" s="32" t="s">
        <v>22</v>
      </c>
      <c r="F374" s="46" t="s">
        <v>152</v>
      </c>
      <c r="G374" s="32" t="s">
        <v>350</v>
      </c>
      <c r="H374" s="32" t="s">
        <v>1419</v>
      </c>
      <c r="I374" s="34">
        <v>6</v>
      </c>
      <c r="J374" s="32" t="s">
        <v>27</v>
      </c>
      <c r="K374" s="32" t="s">
        <v>28</v>
      </c>
      <c r="L374" s="32" t="s">
        <v>29</v>
      </c>
      <c r="M374" s="32" t="s">
        <v>155</v>
      </c>
      <c r="N374" s="32" t="s">
        <v>1168</v>
      </c>
    </row>
    <row r="375" spans="1:14" s="4" customFormat="1" ht="15.75" customHeight="1" x14ac:dyDescent="0.25">
      <c r="A375" s="49">
        <v>4330</v>
      </c>
      <c r="B375" s="32" t="s">
        <v>19</v>
      </c>
      <c r="C375" s="32" t="s">
        <v>20</v>
      </c>
      <c r="D375" s="32" t="s">
        <v>21</v>
      </c>
      <c r="E375" s="32" t="s">
        <v>22</v>
      </c>
      <c r="F375" s="46" t="s">
        <v>152</v>
      </c>
      <c r="G375" s="32" t="s">
        <v>358</v>
      </c>
      <c r="H375" s="32" t="s">
        <v>1421</v>
      </c>
      <c r="I375" s="34">
        <v>6</v>
      </c>
      <c r="J375" s="32" t="s">
        <v>27</v>
      </c>
      <c r="K375" s="32" t="s">
        <v>28</v>
      </c>
      <c r="L375" s="32" t="s">
        <v>29</v>
      </c>
      <c r="M375" s="32" t="s">
        <v>155</v>
      </c>
      <c r="N375" s="32" t="s">
        <v>1169</v>
      </c>
    </row>
    <row r="376" spans="1:14" s="4" customFormat="1" ht="15.75" customHeight="1" x14ac:dyDescent="0.25">
      <c r="A376" s="49">
        <v>3467</v>
      </c>
      <c r="B376" s="32" t="s">
        <v>19</v>
      </c>
      <c r="C376" s="32" t="s">
        <v>20</v>
      </c>
      <c r="D376" s="32" t="s">
        <v>86</v>
      </c>
      <c r="E376" s="32" t="s">
        <v>22</v>
      </c>
      <c r="F376" s="46" t="s">
        <v>223</v>
      </c>
      <c r="G376" s="32" t="s">
        <v>1170</v>
      </c>
      <c r="H376" s="32" t="s">
        <v>1547</v>
      </c>
      <c r="I376" s="34">
        <v>7</v>
      </c>
      <c r="J376" s="32" t="s">
        <v>89</v>
      </c>
      <c r="K376" s="32" t="s">
        <v>28</v>
      </c>
      <c r="L376" s="32" t="s">
        <v>29</v>
      </c>
      <c r="M376" s="32" t="s">
        <v>226</v>
      </c>
      <c r="N376" s="32" t="s">
        <v>1172</v>
      </c>
    </row>
    <row r="377" spans="1:14" s="4" customFormat="1" ht="15.75" customHeight="1" x14ac:dyDescent="0.25">
      <c r="A377" s="49">
        <v>6502.5</v>
      </c>
      <c r="B377" s="32" t="s">
        <v>19</v>
      </c>
      <c r="C377" s="32" t="s">
        <v>20</v>
      </c>
      <c r="D377" s="32" t="s">
        <v>86</v>
      </c>
      <c r="E377" s="32" t="s">
        <v>22</v>
      </c>
      <c r="F377" s="46" t="s">
        <v>180</v>
      </c>
      <c r="G377" s="32" t="s">
        <v>622</v>
      </c>
      <c r="H377" s="32" t="s">
        <v>1462</v>
      </c>
      <c r="I377" s="34">
        <v>7</v>
      </c>
      <c r="J377" s="32" t="s">
        <v>89</v>
      </c>
      <c r="K377" s="32" t="s">
        <v>28</v>
      </c>
      <c r="L377" s="32" t="s">
        <v>29</v>
      </c>
      <c r="M377" s="32" t="s">
        <v>183</v>
      </c>
      <c r="N377" s="32" t="s">
        <v>1173</v>
      </c>
    </row>
    <row r="378" spans="1:14" s="4" customFormat="1" ht="15.75" customHeight="1" x14ac:dyDescent="0.25">
      <c r="A378" s="49">
        <v>419.65</v>
      </c>
      <c r="B378" s="32" t="s">
        <v>19</v>
      </c>
      <c r="C378" s="32" t="s">
        <v>20</v>
      </c>
      <c r="D378" s="32" t="s">
        <v>86</v>
      </c>
      <c r="E378" s="32" t="s">
        <v>22</v>
      </c>
      <c r="F378" s="46" t="s">
        <v>186</v>
      </c>
      <c r="G378" s="32" t="s">
        <v>534</v>
      </c>
      <c r="H378" s="32" t="s">
        <v>1452</v>
      </c>
      <c r="I378" s="34">
        <v>7</v>
      </c>
      <c r="J378" s="32" t="s">
        <v>89</v>
      </c>
      <c r="K378" s="32" t="s">
        <v>28</v>
      </c>
      <c r="L378" s="32" t="s">
        <v>29</v>
      </c>
      <c r="M378" s="32" t="s">
        <v>190</v>
      </c>
      <c r="N378" s="32" t="s">
        <v>1175</v>
      </c>
    </row>
    <row r="379" spans="1:14" s="4" customFormat="1" ht="15.75" customHeight="1" x14ac:dyDescent="0.25">
      <c r="A379" s="49">
        <v>4134.5</v>
      </c>
      <c r="B379" s="32" t="s">
        <v>19</v>
      </c>
      <c r="C379" s="32" t="s">
        <v>20</v>
      </c>
      <c r="D379" s="32" t="s">
        <v>21</v>
      </c>
      <c r="E379" s="32" t="s">
        <v>22</v>
      </c>
      <c r="F379" s="46" t="s">
        <v>145</v>
      </c>
      <c r="G379" s="32" t="s">
        <v>146</v>
      </c>
      <c r="H379" s="32" t="s">
        <v>1383</v>
      </c>
      <c r="I379" s="34">
        <v>7</v>
      </c>
      <c r="J379" s="32" t="s">
        <v>27</v>
      </c>
      <c r="K379" s="32" t="s">
        <v>28</v>
      </c>
      <c r="L379" s="32" t="s">
        <v>29</v>
      </c>
      <c r="M379" s="32" t="s">
        <v>148</v>
      </c>
      <c r="N379" s="32" t="s">
        <v>1176</v>
      </c>
    </row>
    <row r="380" spans="1:14" s="4" customFormat="1" ht="15.75" customHeight="1" x14ac:dyDescent="0.25">
      <c r="A380" s="49">
        <v>3250</v>
      </c>
      <c r="B380" s="32" t="s">
        <v>19</v>
      </c>
      <c r="C380" s="32" t="s">
        <v>20</v>
      </c>
      <c r="D380" s="32" t="s">
        <v>21</v>
      </c>
      <c r="E380" s="32" t="s">
        <v>22</v>
      </c>
      <c r="F380" s="46" t="s">
        <v>39</v>
      </c>
      <c r="G380" s="32" t="s">
        <v>633</v>
      </c>
      <c r="H380" s="32" t="s">
        <v>1464</v>
      </c>
      <c r="I380" s="34">
        <v>7</v>
      </c>
      <c r="J380" s="32" t="s">
        <v>27</v>
      </c>
      <c r="K380" s="32" t="s">
        <v>28</v>
      </c>
      <c r="L380" s="32" t="s">
        <v>29</v>
      </c>
      <c r="M380" s="32" t="s">
        <v>42</v>
      </c>
      <c r="N380" s="32" t="s">
        <v>1177</v>
      </c>
    </row>
    <row r="381" spans="1:14" s="4" customFormat="1" ht="15.75" customHeight="1" x14ac:dyDescent="0.25">
      <c r="A381" s="49">
        <v>4487.5</v>
      </c>
      <c r="B381" s="32" t="s">
        <v>19</v>
      </c>
      <c r="C381" s="32" t="s">
        <v>20</v>
      </c>
      <c r="D381" s="32" t="s">
        <v>21</v>
      </c>
      <c r="E381" s="32" t="s">
        <v>22</v>
      </c>
      <c r="F381" s="46" t="s">
        <v>104</v>
      </c>
      <c r="G381" s="32" t="s">
        <v>497</v>
      </c>
      <c r="H381" s="32" t="s">
        <v>1445</v>
      </c>
      <c r="I381" s="34">
        <v>7</v>
      </c>
      <c r="J381" s="32" t="s">
        <v>27</v>
      </c>
      <c r="K381" s="32" t="s">
        <v>28</v>
      </c>
      <c r="L381" s="32" t="s">
        <v>29</v>
      </c>
      <c r="M381" s="32" t="s">
        <v>107</v>
      </c>
      <c r="N381" s="32" t="s">
        <v>1178</v>
      </c>
    </row>
    <row r="382" spans="1:14" s="4" customFormat="1" ht="15.75" customHeight="1" x14ac:dyDescent="0.25">
      <c r="A382" s="49">
        <v>3366.7</v>
      </c>
      <c r="B382" s="32" t="s">
        <v>19</v>
      </c>
      <c r="C382" s="32" t="s">
        <v>20</v>
      </c>
      <c r="D382" s="32" t="s">
        <v>21</v>
      </c>
      <c r="E382" s="32" t="s">
        <v>22</v>
      </c>
      <c r="F382" s="46" t="s">
        <v>39</v>
      </c>
      <c r="G382" s="32" t="s">
        <v>1180</v>
      </c>
      <c r="H382" s="32" t="s">
        <v>1548</v>
      </c>
      <c r="I382" s="34">
        <v>7</v>
      </c>
      <c r="J382" s="32" t="s">
        <v>27</v>
      </c>
      <c r="K382" s="32" t="s">
        <v>28</v>
      </c>
      <c r="L382" s="32" t="s">
        <v>29</v>
      </c>
      <c r="M382" s="32" t="s">
        <v>42</v>
      </c>
      <c r="N382" s="32" t="s">
        <v>1183</v>
      </c>
    </row>
    <row r="383" spans="1:14" s="4" customFormat="1" ht="15.75" customHeight="1" x14ac:dyDescent="0.25">
      <c r="A383" s="49">
        <v>4766</v>
      </c>
      <c r="B383" s="32" t="s">
        <v>19</v>
      </c>
      <c r="C383" s="32" t="s">
        <v>20</v>
      </c>
      <c r="D383" s="32" t="s">
        <v>86</v>
      </c>
      <c r="E383" s="32" t="s">
        <v>22</v>
      </c>
      <c r="F383" s="46" t="s">
        <v>98</v>
      </c>
      <c r="G383" s="32" t="s">
        <v>99</v>
      </c>
      <c r="H383" s="32" t="s">
        <v>1376</v>
      </c>
      <c r="I383" s="34">
        <v>8</v>
      </c>
      <c r="J383" s="32" t="s">
        <v>89</v>
      </c>
      <c r="K383" s="32" t="s">
        <v>28</v>
      </c>
      <c r="L383" s="32" t="s">
        <v>29</v>
      </c>
      <c r="M383" s="32" t="s">
        <v>101</v>
      </c>
      <c r="N383" s="32" t="s">
        <v>1184</v>
      </c>
    </row>
    <row r="384" spans="1:14" s="4" customFormat="1" ht="15.75" customHeight="1" x14ac:dyDescent="0.25">
      <c r="A384" s="49">
        <v>-753.7</v>
      </c>
      <c r="B384" s="32" t="s">
        <v>19</v>
      </c>
      <c r="C384" s="32" t="s">
        <v>20</v>
      </c>
      <c r="D384" s="32" t="s">
        <v>21</v>
      </c>
      <c r="E384" s="32" t="s">
        <v>22</v>
      </c>
      <c r="F384" s="46" t="s">
        <v>152</v>
      </c>
      <c r="G384" s="32" t="s">
        <v>510</v>
      </c>
      <c r="H384" s="32" t="s">
        <v>1447</v>
      </c>
      <c r="I384" s="34">
        <v>8</v>
      </c>
      <c r="J384" s="32" t="s">
        <v>27</v>
      </c>
      <c r="K384" s="32" t="s">
        <v>28</v>
      </c>
      <c r="L384" s="32" t="s">
        <v>29</v>
      </c>
      <c r="M384" s="32" t="s">
        <v>155</v>
      </c>
      <c r="N384" s="32" t="s">
        <v>1186</v>
      </c>
    </row>
    <row r="385" spans="1:14" s="4" customFormat="1" ht="15.75" customHeight="1" x14ac:dyDescent="0.25">
      <c r="A385" s="49">
        <v>4274</v>
      </c>
      <c r="B385" s="32" t="s">
        <v>19</v>
      </c>
      <c r="C385" s="32" t="s">
        <v>20</v>
      </c>
      <c r="D385" s="32" t="s">
        <v>21</v>
      </c>
      <c r="E385" s="32" t="s">
        <v>22</v>
      </c>
      <c r="F385" s="46" t="s">
        <v>39</v>
      </c>
      <c r="G385" s="32" t="s">
        <v>287</v>
      </c>
      <c r="H385" s="32" t="s">
        <v>1408</v>
      </c>
      <c r="I385" s="34">
        <v>8</v>
      </c>
      <c r="J385" s="32" t="s">
        <v>27</v>
      </c>
      <c r="K385" s="32" t="s">
        <v>28</v>
      </c>
      <c r="L385" s="32" t="s">
        <v>29</v>
      </c>
      <c r="M385" s="32" t="s">
        <v>42</v>
      </c>
      <c r="N385" s="32" t="s">
        <v>1187</v>
      </c>
    </row>
    <row r="386" spans="1:14" s="4" customFormat="1" ht="15.75" customHeight="1" x14ac:dyDescent="0.25">
      <c r="A386" s="49">
        <v>4274</v>
      </c>
      <c r="B386" s="32" t="s">
        <v>19</v>
      </c>
      <c r="C386" s="32" t="s">
        <v>20</v>
      </c>
      <c r="D386" s="32" t="s">
        <v>21</v>
      </c>
      <c r="E386" s="32" t="s">
        <v>22</v>
      </c>
      <c r="F386" s="46" t="s">
        <v>39</v>
      </c>
      <c r="G386" s="32" t="s">
        <v>432</v>
      </c>
      <c r="H386" s="32" t="s">
        <v>1434</v>
      </c>
      <c r="I386" s="34">
        <v>8</v>
      </c>
      <c r="J386" s="32" t="s">
        <v>27</v>
      </c>
      <c r="K386" s="32" t="s">
        <v>28</v>
      </c>
      <c r="L386" s="32" t="s">
        <v>29</v>
      </c>
      <c r="M386" s="32" t="s">
        <v>42</v>
      </c>
      <c r="N386" s="32" t="s">
        <v>1188</v>
      </c>
    </row>
    <row r="387" spans="1:14" s="4" customFormat="1" ht="15.75" customHeight="1" x14ac:dyDescent="0.25">
      <c r="A387" s="49">
        <v>3768.5</v>
      </c>
      <c r="B387" s="32" t="s">
        <v>19</v>
      </c>
      <c r="C387" s="32" t="s">
        <v>20</v>
      </c>
      <c r="D387" s="32" t="s">
        <v>21</v>
      </c>
      <c r="E387" s="32" t="s">
        <v>22</v>
      </c>
      <c r="F387" s="46" t="s">
        <v>152</v>
      </c>
      <c r="G387" s="32" t="s">
        <v>524</v>
      </c>
      <c r="H387" s="32" t="s">
        <v>1450</v>
      </c>
      <c r="I387" s="34">
        <v>8</v>
      </c>
      <c r="J387" s="32" t="s">
        <v>27</v>
      </c>
      <c r="K387" s="32" t="s">
        <v>28</v>
      </c>
      <c r="L387" s="32" t="s">
        <v>29</v>
      </c>
      <c r="M387" s="32" t="s">
        <v>155</v>
      </c>
      <c r="N387" s="32" t="s">
        <v>1189</v>
      </c>
    </row>
    <row r="388" spans="1:14" s="4" customFormat="1" ht="15.75" customHeight="1" x14ac:dyDescent="0.25">
      <c r="A388" s="49">
        <v>3768.5</v>
      </c>
      <c r="B388" s="32" t="s">
        <v>19</v>
      </c>
      <c r="C388" s="32" t="s">
        <v>20</v>
      </c>
      <c r="D388" s="32" t="s">
        <v>21</v>
      </c>
      <c r="E388" s="32" t="s">
        <v>22</v>
      </c>
      <c r="F388" s="46" t="s">
        <v>152</v>
      </c>
      <c r="G388" s="32" t="s">
        <v>1190</v>
      </c>
      <c r="H388" s="32" t="s">
        <v>1549</v>
      </c>
      <c r="I388" s="34">
        <v>8</v>
      </c>
      <c r="J388" s="32" t="s">
        <v>27</v>
      </c>
      <c r="K388" s="32" t="s">
        <v>28</v>
      </c>
      <c r="L388" s="32" t="s">
        <v>29</v>
      </c>
      <c r="M388" s="32" t="s">
        <v>155</v>
      </c>
      <c r="N388" s="32" t="s">
        <v>1192</v>
      </c>
    </row>
    <row r="389" spans="1:14" s="4" customFormat="1" ht="15.75" customHeight="1" x14ac:dyDescent="0.25">
      <c r="A389" s="49">
        <v>4330</v>
      </c>
      <c r="B389" s="32" t="s">
        <v>19</v>
      </c>
      <c r="C389" s="32" t="s">
        <v>20</v>
      </c>
      <c r="D389" s="32" t="s">
        <v>21</v>
      </c>
      <c r="E389" s="32" t="s">
        <v>22</v>
      </c>
      <c r="F389" s="46" t="s">
        <v>152</v>
      </c>
      <c r="G389" s="32" t="s">
        <v>358</v>
      </c>
      <c r="H389" s="32" t="s">
        <v>1421</v>
      </c>
      <c r="I389" s="34">
        <v>8</v>
      </c>
      <c r="J389" s="32" t="s">
        <v>27</v>
      </c>
      <c r="K389" s="32" t="s">
        <v>28</v>
      </c>
      <c r="L389" s="32" t="s">
        <v>29</v>
      </c>
      <c r="M389" s="32" t="s">
        <v>155</v>
      </c>
      <c r="N389" s="32" t="s">
        <v>1193</v>
      </c>
    </row>
    <row r="390" spans="1:14" s="4" customFormat="1" ht="15.75" customHeight="1" x14ac:dyDescent="0.25">
      <c r="A390" s="49">
        <v>4064.5</v>
      </c>
      <c r="B390" s="32" t="s">
        <v>19</v>
      </c>
      <c r="C390" s="32" t="s">
        <v>20</v>
      </c>
      <c r="D390" s="32" t="s">
        <v>86</v>
      </c>
      <c r="E390" s="32" t="s">
        <v>22</v>
      </c>
      <c r="F390" s="46" t="s">
        <v>223</v>
      </c>
      <c r="G390" s="32" t="s">
        <v>224</v>
      </c>
      <c r="H390" s="32" t="s">
        <v>1397</v>
      </c>
      <c r="I390" s="34">
        <v>9</v>
      </c>
      <c r="J390" s="32" t="s">
        <v>89</v>
      </c>
      <c r="K390" s="32" t="s">
        <v>28</v>
      </c>
      <c r="L390" s="32" t="s">
        <v>29</v>
      </c>
      <c r="M390" s="32" t="s">
        <v>226</v>
      </c>
      <c r="N390" s="32" t="s">
        <v>1194</v>
      </c>
    </row>
    <row r="391" spans="1:14" s="4" customFormat="1" ht="15.75" customHeight="1" x14ac:dyDescent="0.25">
      <c r="A391" s="49">
        <v>4232.5</v>
      </c>
      <c r="B391" s="32" t="s">
        <v>19</v>
      </c>
      <c r="C391" s="32" t="s">
        <v>20</v>
      </c>
      <c r="D391" s="32" t="s">
        <v>86</v>
      </c>
      <c r="E391" s="32" t="s">
        <v>22</v>
      </c>
      <c r="F391" s="46" t="s">
        <v>298</v>
      </c>
      <c r="G391" s="32" t="s">
        <v>489</v>
      </c>
      <c r="H391" s="32" t="s">
        <v>1443</v>
      </c>
      <c r="I391" s="34">
        <v>9</v>
      </c>
      <c r="J391" s="32" t="s">
        <v>89</v>
      </c>
      <c r="K391" s="32" t="s">
        <v>28</v>
      </c>
      <c r="L391" s="32" t="s">
        <v>29</v>
      </c>
      <c r="M391" s="32" t="s">
        <v>301</v>
      </c>
      <c r="N391" s="32" t="s">
        <v>1195</v>
      </c>
    </row>
    <row r="392" spans="1:14" s="4" customFormat="1" ht="15.75" customHeight="1" x14ac:dyDescent="0.25">
      <c r="A392" s="49">
        <v>4534</v>
      </c>
      <c r="B392" s="32" t="s">
        <v>19</v>
      </c>
      <c r="C392" s="32" t="s">
        <v>20</v>
      </c>
      <c r="D392" s="32" t="s">
        <v>21</v>
      </c>
      <c r="E392" s="32" t="s">
        <v>22</v>
      </c>
      <c r="F392" s="46" t="s">
        <v>61</v>
      </c>
      <c r="G392" s="32" t="s">
        <v>513</v>
      </c>
      <c r="H392" s="32" t="s">
        <v>1448</v>
      </c>
      <c r="I392" s="34">
        <v>9</v>
      </c>
      <c r="J392" s="32" t="s">
        <v>27</v>
      </c>
      <c r="K392" s="32" t="s">
        <v>28</v>
      </c>
      <c r="L392" s="32" t="s">
        <v>29</v>
      </c>
      <c r="M392" s="32" t="s">
        <v>65</v>
      </c>
      <c r="N392" s="32" t="s">
        <v>1196</v>
      </c>
    </row>
    <row r="393" spans="1:14" s="4" customFormat="1" ht="15.75" customHeight="1" x14ac:dyDescent="0.25">
      <c r="A393" s="49">
        <v>4750.5</v>
      </c>
      <c r="B393" s="32" t="s">
        <v>19</v>
      </c>
      <c r="C393" s="32" t="s">
        <v>20</v>
      </c>
      <c r="D393" s="32" t="s">
        <v>21</v>
      </c>
      <c r="E393" s="32" t="s">
        <v>22</v>
      </c>
      <c r="F393" s="46" t="s">
        <v>303</v>
      </c>
      <c r="G393" s="32" t="s">
        <v>304</v>
      </c>
      <c r="H393" s="32" t="s">
        <v>1411</v>
      </c>
      <c r="I393" s="34">
        <v>9</v>
      </c>
      <c r="J393" s="32" t="s">
        <v>27</v>
      </c>
      <c r="K393" s="32" t="s">
        <v>28</v>
      </c>
      <c r="L393" s="32" t="s">
        <v>29</v>
      </c>
      <c r="M393" s="32" t="s">
        <v>306</v>
      </c>
      <c r="N393" s="32" t="s">
        <v>1197</v>
      </c>
    </row>
    <row r="394" spans="1:14" s="4" customFormat="1" ht="15.75" customHeight="1" x14ac:dyDescent="0.25">
      <c r="A394" s="49">
        <v>3754.5</v>
      </c>
      <c r="B394" s="32" t="s">
        <v>19</v>
      </c>
      <c r="C394" s="32" t="s">
        <v>20</v>
      </c>
      <c r="D394" s="32" t="s">
        <v>21</v>
      </c>
      <c r="E394" s="32" t="s">
        <v>22</v>
      </c>
      <c r="F394" s="46" t="s">
        <v>1199</v>
      </c>
      <c r="G394" s="32" t="s">
        <v>1200</v>
      </c>
      <c r="H394" s="32" t="s">
        <v>1550</v>
      </c>
      <c r="I394" s="34">
        <v>9</v>
      </c>
      <c r="J394" s="32" t="s">
        <v>27</v>
      </c>
      <c r="K394" s="32" t="s">
        <v>28</v>
      </c>
      <c r="L394" s="32" t="s">
        <v>29</v>
      </c>
      <c r="M394" s="32" t="s">
        <v>1202</v>
      </c>
      <c r="N394" s="32" t="s">
        <v>1203</v>
      </c>
    </row>
    <row r="395" spans="1:14" s="4" customFormat="1" ht="15.75" customHeight="1" x14ac:dyDescent="0.25">
      <c r="A395" s="49">
        <v>3250</v>
      </c>
      <c r="B395" s="32" t="s">
        <v>19</v>
      </c>
      <c r="C395" s="32" t="s">
        <v>20</v>
      </c>
      <c r="D395" s="32" t="s">
        <v>21</v>
      </c>
      <c r="E395" s="32" t="s">
        <v>22</v>
      </c>
      <c r="F395" s="46" t="s">
        <v>39</v>
      </c>
      <c r="G395" s="32" t="s">
        <v>213</v>
      </c>
      <c r="H395" s="32" t="s">
        <v>1395</v>
      </c>
      <c r="I395" s="34">
        <v>9</v>
      </c>
      <c r="J395" s="32" t="s">
        <v>27</v>
      </c>
      <c r="K395" s="32" t="s">
        <v>28</v>
      </c>
      <c r="L395" s="32" t="s">
        <v>29</v>
      </c>
      <c r="M395" s="32" t="s">
        <v>42</v>
      </c>
      <c r="N395" s="32" t="s">
        <v>1204</v>
      </c>
    </row>
    <row r="396" spans="1:14" s="4" customFormat="1" ht="15.75" customHeight="1" x14ac:dyDescent="0.25">
      <c r="A396" s="49">
        <v>3467</v>
      </c>
      <c r="B396" s="32" t="s">
        <v>19</v>
      </c>
      <c r="C396" s="32" t="s">
        <v>20</v>
      </c>
      <c r="D396" s="32" t="s">
        <v>86</v>
      </c>
      <c r="E396" s="32" t="s">
        <v>22</v>
      </c>
      <c r="F396" s="46" t="s">
        <v>223</v>
      </c>
      <c r="G396" s="32" t="s">
        <v>1170</v>
      </c>
      <c r="H396" s="32" t="s">
        <v>1547</v>
      </c>
      <c r="I396" s="34">
        <v>10</v>
      </c>
      <c r="J396" s="32" t="s">
        <v>89</v>
      </c>
      <c r="K396" s="32" t="s">
        <v>28</v>
      </c>
      <c r="L396" s="32" t="s">
        <v>29</v>
      </c>
      <c r="M396" s="32" t="s">
        <v>226</v>
      </c>
      <c r="N396" s="32" t="s">
        <v>1205</v>
      </c>
    </row>
    <row r="397" spans="1:14" s="4" customFormat="1" ht="15.75" customHeight="1" x14ac:dyDescent="0.25">
      <c r="A397" s="49">
        <v>3772.5</v>
      </c>
      <c r="B397" s="32" t="s">
        <v>19</v>
      </c>
      <c r="C397" s="32" t="s">
        <v>20</v>
      </c>
      <c r="D397" s="32" t="s">
        <v>21</v>
      </c>
      <c r="E397" s="32" t="s">
        <v>22</v>
      </c>
      <c r="F397" s="46" t="s">
        <v>23</v>
      </c>
      <c r="G397" s="32" t="s">
        <v>24</v>
      </c>
      <c r="H397" s="32" t="s">
        <v>1364</v>
      </c>
      <c r="I397" s="34">
        <v>10</v>
      </c>
      <c r="J397" s="32" t="s">
        <v>27</v>
      </c>
      <c r="K397" s="32" t="s">
        <v>28</v>
      </c>
      <c r="L397" s="32" t="s">
        <v>29</v>
      </c>
      <c r="M397" s="32" t="s">
        <v>30</v>
      </c>
      <c r="N397" s="32" t="s">
        <v>1207</v>
      </c>
    </row>
    <row r="398" spans="1:14" s="4" customFormat="1" ht="15.75" customHeight="1" x14ac:dyDescent="0.25">
      <c r="A398" s="49">
        <v>4672</v>
      </c>
      <c r="B398" s="32" t="s">
        <v>19</v>
      </c>
      <c r="C398" s="32" t="s">
        <v>20</v>
      </c>
      <c r="D398" s="32" t="s">
        <v>21</v>
      </c>
      <c r="E398" s="32" t="s">
        <v>22</v>
      </c>
      <c r="F398" s="46" t="s">
        <v>1208</v>
      </c>
      <c r="G398" s="32" t="s">
        <v>1209</v>
      </c>
      <c r="H398" s="32" t="s">
        <v>1551</v>
      </c>
      <c r="I398" s="34">
        <v>10</v>
      </c>
      <c r="J398" s="32" t="s">
        <v>27</v>
      </c>
      <c r="K398" s="32" t="s">
        <v>28</v>
      </c>
      <c r="L398" s="32" t="s">
        <v>29</v>
      </c>
      <c r="M398" s="32" t="s">
        <v>1211</v>
      </c>
      <c r="N398" s="32" t="s">
        <v>1212</v>
      </c>
    </row>
    <row r="399" spans="1:14" s="4" customFormat="1" ht="15.75" customHeight="1" x14ac:dyDescent="0.25">
      <c r="A399" s="49">
        <v>2697.5</v>
      </c>
      <c r="B399" s="32" t="s">
        <v>19</v>
      </c>
      <c r="C399" s="32" t="s">
        <v>20</v>
      </c>
      <c r="D399" s="32" t="s">
        <v>21</v>
      </c>
      <c r="E399" s="32" t="s">
        <v>22</v>
      </c>
      <c r="F399" s="46" t="s">
        <v>75</v>
      </c>
      <c r="G399" s="32" t="s">
        <v>76</v>
      </c>
      <c r="H399" s="32" t="s">
        <v>1372</v>
      </c>
      <c r="I399" s="34">
        <v>10</v>
      </c>
      <c r="J399" s="32" t="s">
        <v>27</v>
      </c>
      <c r="K399" s="32" t="s">
        <v>28</v>
      </c>
      <c r="L399" s="32" t="s">
        <v>29</v>
      </c>
      <c r="M399" s="32" t="s">
        <v>78</v>
      </c>
      <c r="N399" s="32" t="s">
        <v>1214</v>
      </c>
    </row>
    <row r="400" spans="1:14" s="4" customFormat="1" ht="15.75" customHeight="1" x14ac:dyDescent="0.25">
      <c r="A400" s="49">
        <v>2960.5</v>
      </c>
      <c r="B400" s="32" t="s">
        <v>19</v>
      </c>
      <c r="C400" s="32" t="s">
        <v>20</v>
      </c>
      <c r="D400" s="32" t="s">
        <v>21</v>
      </c>
      <c r="E400" s="32" t="s">
        <v>22</v>
      </c>
      <c r="F400" s="46" t="s">
        <v>75</v>
      </c>
      <c r="G400" s="32" t="s">
        <v>236</v>
      </c>
      <c r="H400" s="32" t="s">
        <v>1399</v>
      </c>
      <c r="I400" s="34">
        <v>10</v>
      </c>
      <c r="J400" s="32" t="s">
        <v>27</v>
      </c>
      <c r="K400" s="32" t="s">
        <v>28</v>
      </c>
      <c r="L400" s="32" t="s">
        <v>29</v>
      </c>
      <c r="M400" s="32" t="s">
        <v>78</v>
      </c>
      <c r="N400" s="32" t="s">
        <v>1216</v>
      </c>
    </row>
    <row r="401" spans="1:14" s="4" customFormat="1" ht="15.75" customHeight="1" x14ac:dyDescent="0.25">
      <c r="A401" s="49">
        <v>2783.5</v>
      </c>
      <c r="B401" s="32" t="s">
        <v>19</v>
      </c>
      <c r="C401" s="32" t="s">
        <v>20</v>
      </c>
      <c r="D401" s="32" t="s">
        <v>21</v>
      </c>
      <c r="E401" s="32" t="s">
        <v>22</v>
      </c>
      <c r="F401" s="46" t="s">
        <v>152</v>
      </c>
      <c r="G401" s="32" t="s">
        <v>590</v>
      </c>
      <c r="H401" s="32" t="s">
        <v>1458</v>
      </c>
      <c r="I401" s="34">
        <v>10</v>
      </c>
      <c r="J401" s="32" t="s">
        <v>27</v>
      </c>
      <c r="K401" s="32" t="s">
        <v>28</v>
      </c>
      <c r="L401" s="32" t="s">
        <v>29</v>
      </c>
      <c r="M401" s="32" t="s">
        <v>155</v>
      </c>
      <c r="N401" s="32" t="s">
        <v>1217</v>
      </c>
    </row>
    <row r="402" spans="1:14" s="4" customFormat="1" ht="15.75" customHeight="1" x14ac:dyDescent="0.25">
      <c r="A402" s="49">
        <v>5816.5</v>
      </c>
      <c r="B402" s="32" t="s">
        <v>19</v>
      </c>
      <c r="C402" s="32" t="s">
        <v>20</v>
      </c>
      <c r="D402" s="32" t="s">
        <v>21</v>
      </c>
      <c r="E402" s="32" t="s">
        <v>22</v>
      </c>
      <c r="F402" s="46" t="s">
        <v>253</v>
      </c>
      <c r="G402" s="32" t="s">
        <v>254</v>
      </c>
      <c r="H402" s="32" t="s">
        <v>1402</v>
      </c>
      <c r="I402" s="34">
        <v>10</v>
      </c>
      <c r="J402" s="32" t="s">
        <v>27</v>
      </c>
      <c r="K402" s="32" t="s">
        <v>28</v>
      </c>
      <c r="L402" s="32" t="s">
        <v>29</v>
      </c>
      <c r="M402" s="32" t="s">
        <v>256</v>
      </c>
      <c r="N402" s="32" t="s">
        <v>1218</v>
      </c>
    </row>
    <row r="403" spans="1:14" s="4" customFormat="1" ht="15.75" customHeight="1" x14ac:dyDescent="0.25">
      <c r="A403" s="49">
        <v>-602.79999999999995</v>
      </c>
      <c r="B403" s="32" t="s">
        <v>19</v>
      </c>
      <c r="C403" s="32" t="s">
        <v>20</v>
      </c>
      <c r="D403" s="32" t="s">
        <v>21</v>
      </c>
      <c r="E403" s="32" t="s">
        <v>22</v>
      </c>
      <c r="F403" s="46" t="s">
        <v>1220</v>
      </c>
      <c r="G403" s="32" t="s">
        <v>1221</v>
      </c>
      <c r="H403" s="32" t="s">
        <v>1552</v>
      </c>
      <c r="I403" s="34">
        <v>10</v>
      </c>
      <c r="J403" s="32" t="s">
        <v>27</v>
      </c>
      <c r="K403" s="32" t="s">
        <v>28</v>
      </c>
      <c r="L403" s="32" t="s">
        <v>29</v>
      </c>
      <c r="M403" s="32" t="s">
        <v>1224</v>
      </c>
      <c r="N403" s="32" t="s">
        <v>1225</v>
      </c>
    </row>
    <row r="404" spans="1:14" s="4" customFormat="1" ht="15.75" customHeight="1" x14ac:dyDescent="0.25">
      <c r="A404" s="49">
        <v>6634.5</v>
      </c>
      <c r="B404" s="32" t="s">
        <v>19</v>
      </c>
      <c r="C404" s="32" t="s">
        <v>20</v>
      </c>
      <c r="D404" s="32" t="s">
        <v>86</v>
      </c>
      <c r="E404" s="32" t="s">
        <v>22</v>
      </c>
      <c r="F404" s="46" t="s">
        <v>180</v>
      </c>
      <c r="G404" s="32" t="s">
        <v>622</v>
      </c>
      <c r="H404" s="32" t="s">
        <v>1462</v>
      </c>
      <c r="I404" s="34">
        <v>11</v>
      </c>
      <c r="J404" s="32" t="s">
        <v>89</v>
      </c>
      <c r="K404" s="32" t="s">
        <v>28</v>
      </c>
      <c r="L404" s="32" t="s">
        <v>29</v>
      </c>
      <c r="M404" s="32" t="s">
        <v>183</v>
      </c>
      <c r="N404" s="32" t="s">
        <v>1227</v>
      </c>
    </row>
    <row r="405" spans="1:14" s="4" customFormat="1" ht="15.75" customHeight="1" x14ac:dyDescent="0.25">
      <c r="A405" s="49">
        <v>3772.5</v>
      </c>
      <c r="B405" s="32" t="s">
        <v>19</v>
      </c>
      <c r="C405" s="32" t="s">
        <v>20</v>
      </c>
      <c r="D405" s="32" t="s">
        <v>21</v>
      </c>
      <c r="E405" s="32" t="s">
        <v>22</v>
      </c>
      <c r="F405" s="46" t="s">
        <v>23</v>
      </c>
      <c r="G405" s="32" t="s">
        <v>24</v>
      </c>
      <c r="H405" s="32" t="s">
        <v>1364</v>
      </c>
      <c r="I405" s="34">
        <v>11</v>
      </c>
      <c r="J405" s="32" t="s">
        <v>27</v>
      </c>
      <c r="K405" s="32" t="s">
        <v>28</v>
      </c>
      <c r="L405" s="32" t="s">
        <v>29</v>
      </c>
      <c r="M405" s="32" t="s">
        <v>30</v>
      </c>
      <c r="N405" s="32" t="s">
        <v>1228</v>
      </c>
    </row>
    <row r="406" spans="1:14" s="4" customFormat="1" ht="15.75" customHeight="1" x14ac:dyDescent="0.25">
      <c r="A406" s="49">
        <v>4976.5</v>
      </c>
      <c r="B406" s="32" t="s">
        <v>19</v>
      </c>
      <c r="C406" s="32" t="s">
        <v>20</v>
      </c>
      <c r="D406" s="32" t="s">
        <v>21</v>
      </c>
      <c r="E406" s="32" t="s">
        <v>22</v>
      </c>
      <c r="F406" s="46" t="s">
        <v>471</v>
      </c>
      <c r="G406" s="32" t="s">
        <v>472</v>
      </c>
      <c r="H406" s="32" t="s">
        <v>1440</v>
      </c>
      <c r="I406" s="34">
        <v>11</v>
      </c>
      <c r="J406" s="32" t="s">
        <v>27</v>
      </c>
      <c r="K406" s="32" t="s">
        <v>28</v>
      </c>
      <c r="L406" s="32" t="s">
        <v>29</v>
      </c>
      <c r="M406" s="32" t="s">
        <v>474</v>
      </c>
      <c r="N406" s="32" t="s">
        <v>1229</v>
      </c>
    </row>
    <row r="407" spans="1:14" s="4" customFormat="1" ht="15.75" customHeight="1" x14ac:dyDescent="0.25">
      <c r="A407" s="49">
        <v>3867.5</v>
      </c>
      <c r="B407" s="32" t="s">
        <v>19</v>
      </c>
      <c r="C407" s="32" t="s">
        <v>20</v>
      </c>
      <c r="D407" s="32" t="s">
        <v>21</v>
      </c>
      <c r="E407" s="32" t="s">
        <v>22</v>
      </c>
      <c r="F407" s="46" t="s">
        <v>223</v>
      </c>
      <c r="G407" s="32" t="s">
        <v>626</v>
      </c>
      <c r="H407" s="32" t="s">
        <v>1463</v>
      </c>
      <c r="I407" s="34">
        <v>11</v>
      </c>
      <c r="J407" s="32" t="s">
        <v>27</v>
      </c>
      <c r="K407" s="32" t="s">
        <v>28</v>
      </c>
      <c r="L407" s="32" t="s">
        <v>29</v>
      </c>
      <c r="M407" s="32" t="s">
        <v>226</v>
      </c>
      <c r="N407" s="32" t="s">
        <v>1230</v>
      </c>
    </row>
    <row r="408" spans="1:14" s="4" customFormat="1" ht="15.75" customHeight="1" x14ac:dyDescent="0.25">
      <c r="A408" s="49">
        <v>4541.5</v>
      </c>
      <c r="B408" s="32" t="s">
        <v>19</v>
      </c>
      <c r="C408" s="32" t="s">
        <v>20</v>
      </c>
      <c r="D408" s="32" t="s">
        <v>21</v>
      </c>
      <c r="E408" s="32" t="s">
        <v>22</v>
      </c>
      <c r="F408" s="46" t="s">
        <v>75</v>
      </c>
      <c r="G408" s="32" t="s">
        <v>376</v>
      </c>
      <c r="H408" s="32" t="s">
        <v>1423</v>
      </c>
      <c r="I408" s="34">
        <v>11</v>
      </c>
      <c r="J408" s="32" t="s">
        <v>27</v>
      </c>
      <c r="K408" s="32" t="s">
        <v>28</v>
      </c>
      <c r="L408" s="32" t="s">
        <v>29</v>
      </c>
      <c r="M408" s="32" t="s">
        <v>78</v>
      </c>
      <c r="N408" s="32" t="s">
        <v>1231</v>
      </c>
    </row>
    <row r="409" spans="1:14" s="4" customFormat="1" ht="15.75" customHeight="1" x14ac:dyDescent="0.25">
      <c r="A409" s="49">
        <v>3711.5</v>
      </c>
      <c r="B409" s="32" t="s">
        <v>19</v>
      </c>
      <c r="C409" s="32" t="s">
        <v>20</v>
      </c>
      <c r="D409" s="32" t="s">
        <v>21</v>
      </c>
      <c r="E409" s="32" t="s">
        <v>22</v>
      </c>
      <c r="F409" s="46" t="s">
        <v>39</v>
      </c>
      <c r="G409" s="32" t="s">
        <v>45</v>
      </c>
      <c r="H409" s="32" t="s">
        <v>1367</v>
      </c>
      <c r="I409" s="34">
        <v>11</v>
      </c>
      <c r="J409" s="32" t="s">
        <v>27</v>
      </c>
      <c r="K409" s="32" t="s">
        <v>28</v>
      </c>
      <c r="L409" s="32" t="s">
        <v>29</v>
      </c>
      <c r="M409" s="32" t="s">
        <v>42</v>
      </c>
      <c r="N409" s="32" t="s">
        <v>1232</v>
      </c>
    </row>
    <row r="410" spans="1:14" s="4" customFormat="1" ht="15.75" customHeight="1" x14ac:dyDescent="0.25">
      <c r="A410" s="49">
        <v>4444.5</v>
      </c>
      <c r="B410" s="32" t="s">
        <v>19</v>
      </c>
      <c r="C410" s="32" t="s">
        <v>20</v>
      </c>
      <c r="D410" s="32" t="s">
        <v>21</v>
      </c>
      <c r="E410" s="32" t="s">
        <v>22</v>
      </c>
      <c r="F410" s="46" t="s">
        <v>314</v>
      </c>
      <c r="G410" s="32" t="s">
        <v>455</v>
      </c>
      <c r="H410" s="32" t="s">
        <v>1438</v>
      </c>
      <c r="I410" s="34">
        <v>11</v>
      </c>
      <c r="J410" s="32" t="s">
        <v>27</v>
      </c>
      <c r="K410" s="32" t="s">
        <v>28</v>
      </c>
      <c r="L410" s="32" t="s">
        <v>29</v>
      </c>
      <c r="M410" s="32" t="s">
        <v>317</v>
      </c>
      <c r="N410" s="32" t="s">
        <v>1233</v>
      </c>
    </row>
    <row r="411" spans="1:14" s="4" customFormat="1" ht="15.75" customHeight="1" x14ac:dyDescent="0.25">
      <c r="A411" s="49">
        <v>4760.5</v>
      </c>
      <c r="B411" s="32" t="s">
        <v>19</v>
      </c>
      <c r="C411" s="32" t="s">
        <v>20</v>
      </c>
      <c r="D411" s="32" t="s">
        <v>21</v>
      </c>
      <c r="E411" s="32" t="s">
        <v>22</v>
      </c>
      <c r="F411" s="46" t="s">
        <v>104</v>
      </c>
      <c r="G411" s="32" t="s">
        <v>497</v>
      </c>
      <c r="H411" s="32" t="s">
        <v>1445</v>
      </c>
      <c r="I411" s="34">
        <v>11</v>
      </c>
      <c r="J411" s="32" t="s">
        <v>27</v>
      </c>
      <c r="K411" s="32" t="s">
        <v>28</v>
      </c>
      <c r="L411" s="32" t="s">
        <v>29</v>
      </c>
      <c r="M411" s="32" t="s">
        <v>107</v>
      </c>
      <c r="N411" s="32" t="s">
        <v>1235</v>
      </c>
    </row>
    <row r="412" spans="1:14" s="4" customFormat="1" ht="15.75" customHeight="1" x14ac:dyDescent="0.25">
      <c r="A412" s="49">
        <v>1834.14</v>
      </c>
      <c r="B412" s="32" t="s">
        <v>19</v>
      </c>
      <c r="C412" s="32" t="s">
        <v>123</v>
      </c>
      <c r="D412" s="32" t="s">
        <v>124</v>
      </c>
      <c r="E412" s="32" t="s">
        <v>125</v>
      </c>
      <c r="F412" s="46" t="s">
        <v>819</v>
      </c>
      <c r="G412" s="32" t="s">
        <v>1237</v>
      </c>
      <c r="H412" s="32" t="s">
        <v>1553</v>
      </c>
      <c r="I412" s="34">
        <v>7</v>
      </c>
      <c r="J412" s="32" t="s">
        <v>130</v>
      </c>
      <c r="K412" s="32" t="s">
        <v>28</v>
      </c>
      <c r="L412" s="32" t="s">
        <v>131</v>
      </c>
      <c r="M412" s="32" t="s">
        <v>824</v>
      </c>
      <c r="N412" s="32" t="s">
        <v>1239</v>
      </c>
    </row>
    <row r="413" spans="1:14" s="4" customFormat="1" ht="15.75" customHeight="1" x14ac:dyDescent="0.25">
      <c r="A413" s="49">
        <v>7082</v>
      </c>
      <c r="B413" s="32" t="s">
        <v>19</v>
      </c>
      <c r="C413" s="32" t="s">
        <v>20</v>
      </c>
      <c r="D413" s="32" t="s">
        <v>21</v>
      </c>
      <c r="E413" s="32" t="s">
        <v>22</v>
      </c>
      <c r="F413" s="46" t="s">
        <v>1220</v>
      </c>
      <c r="G413" s="32" t="s">
        <v>1221</v>
      </c>
      <c r="H413" s="32" t="s">
        <v>1552</v>
      </c>
      <c r="I413" s="34">
        <v>11</v>
      </c>
      <c r="J413" s="32" t="s">
        <v>27</v>
      </c>
      <c r="K413" s="32" t="s">
        <v>28</v>
      </c>
      <c r="L413" s="32" t="s">
        <v>29</v>
      </c>
      <c r="M413" s="32" t="s">
        <v>1224</v>
      </c>
      <c r="N413" s="32" t="s">
        <v>1241</v>
      </c>
    </row>
    <row r="414" spans="1:14" s="4" customFormat="1" ht="15.75" customHeight="1" x14ac:dyDescent="0.25">
      <c r="A414" s="49">
        <v>13669.62</v>
      </c>
      <c r="B414" s="32" t="s">
        <v>19</v>
      </c>
      <c r="C414" s="32" t="s">
        <v>20</v>
      </c>
      <c r="D414" s="32" t="s">
        <v>21</v>
      </c>
      <c r="E414" s="32" t="s">
        <v>22</v>
      </c>
      <c r="F414" s="46" t="s">
        <v>1243</v>
      </c>
      <c r="G414" s="32" t="s">
        <v>1244</v>
      </c>
      <c r="H414" s="32" t="s">
        <v>1554</v>
      </c>
      <c r="I414" s="34">
        <v>11</v>
      </c>
      <c r="J414" s="32" t="s">
        <v>27</v>
      </c>
      <c r="K414" s="32" t="s">
        <v>28</v>
      </c>
      <c r="L414" s="32" t="s">
        <v>29</v>
      </c>
      <c r="M414" s="32" t="s">
        <v>1246</v>
      </c>
      <c r="N414" s="32" t="s">
        <v>1247</v>
      </c>
    </row>
    <row r="415" spans="1:14" s="4" customFormat="1" ht="15.75" customHeight="1" x14ac:dyDescent="0.25">
      <c r="A415" s="49">
        <v>3467</v>
      </c>
      <c r="B415" s="32" t="s">
        <v>19</v>
      </c>
      <c r="C415" s="32" t="s">
        <v>20</v>
      </c>
      <c r="D415" s="32" t="s">
        <v>86</v>
      </c>
      <c r="E415" s="32" t="s">
        <v>22</v>
      </c>
      <c r="F415" s="46" t="s">
        <v>223</v>
      </c>
      <c r="G415" s="32" t="s">
        <v>412</v>
      </c>
      <c r="H415" s="32" t="s">
        <v>1430</v>
      </c>
      <c r="I415" s="34">
        <v>12</v>
      </c>
      <c r="J415" s="32" t="s">
        <v>89</v>
      </c>
      <c r="K415" s="32" t="s">
        <v>28</v>
      </c>
      <c r="L415" s="32" t="s">
        <v>29</v>
      </c>
      <c r="M415" s="32" t="s">
        <v>226</v>
      </c>
      <c r="N415" s="32" t="s">
        <v>1248</v>
      </c>
    </row>
    <row r="416" spans="1:14" s="4" customFormat="1" ht="15.75" customHeight="1" x14ac:dyDescent="0.25">
      <c r="A416" s="49">
        <v>-434.37</v>
      </c>
      <c r="B416" s="32" t="s">
        <v>19</v>
      </c>
      <c r="C416" s="32" t="s">
        <v>20</v>
      </c>
      <c r="D416" s="32" t="s">
        <v>21</v>
      </c>
      <c r="E416" s="32" t="s">
        <v>22</v>
      </c>
      <c r="F416" s="46" t="s">
        <v>61</v>
      </c>
      <c r="G416" s="32" t="s">
        <v>330</v>
      </c>
      <c r="H416" s="32" t="s">
        <v>1415</v>
      </c>
      <c r="I416" s="34">
        <v>12</v>
      </c>
      <c r="J416" s="32" t="s">
        <v>27</v>
      </c>
      <c r="K416" s="32" t="s">
        <v>28</v>
      </c>
      <c r="L416" s="32" t="s">
        <v>29</v>
      </c>
      <c r="M416" s="32" t="s">
        <v>65</v>
      </c>
      <c r="N416" s="32" t="s">
        <v>1250</v>
      </c>
    </row>
    <row r="417" spans="1:14" s="4" customFormat="1" ht="15.75" customHeight="1" x14ac:dyDescent="0.25">
      <c r="A417" s="49">
        <v>4976.5</v>
      </c>
      <c r="B417" s="32" t="s">
        <v>19</v>
      </c>
      <c r="C417" s="32" t="s">
        <v>20</v>
      </c>
      <c r="D417" s="32" t="s">
        <v>21</v>
      </c>
      <c r="E417" s="32" t="s">
        <v>22</v>
      </c>
      <c r="F417" s="46" t="s">
        <v>471</v>
      </c>
      <c r="G417" s="32" t="s">
        <v>472</v>
      </c>
      <c r="H417" s="32" t="s">
        <v>1440</v>
      </c>
      <c r="I417" s="34">
        <v>12</v>
      </c>
      <c r="J417" s="32" t="s">
        <v>27</v>
      </c>
      <c r="K417" s="32" t="s">
        <v>28</v>
      </c>
      <c r="L417" s="32" t="s">
        <v>29</v>
      </c>
      <c r="M417" s="32" t="s">
        <v>474</v>
      </c>
      <c r="N417" s="32" t="s">
        <v>1251</v>
      </c>
    </row>
    <row r="418" spans="1:14" s="4" customFormat="1" ht="15.75" customHeight="1" x14ac:dyDescent="0.25">
      <c r="A418" s="49">
        <v>4541.5</v>
      </c>
      <c r="B418" s="32" t="s">
        <v>19</v>
      </c>
      <c r="C418" s="32" t="s">
        <v>20</v>
      </c>
      <c r="D418" s="32" t="s">
        <v>21</v>
      </c>
      <c r="E418" s="32" t="s">
        <v>22</v>
      </c>
      <c r="F418" s="46" t="s">
        <v>75</v>
      </c>
      <c r="G418" s="32" t="s">
        <v>340</v>
      </c>
      <c r="H418" s="32" t="s">
        <v>1417</v>
      </c>
      <c r="I418" s="34">
        <v>12</v>
      </c>
      <c r="J418" s="32" t="s">
        <v>27</v>
      </c>
      <c r="K418" s="32" t="s">
        <v>28</v>
      </c>
      <c r="L418" s="32" t="s">
        <v>29</v>
      </c>
      <c r="M418" s="32" t="s">
        <v>78</v>
      </c>
      <c r="N418" s="32" t="s">
        <v>1252</v>
      </c>
    </row>
    <row r="419" spans="1:14" s="4" customFormat="1" ht="15.75" customHeight="1" x14ac:dyDescent="0.25">
      <c r="A419" s="49">
        <v>-171.89</v>
      </c>
      <c r="B419" s="32" t="s">
        <v>19</v>
      </c>
      <c r="C419" s="32" t="s">
        <v>20</v>
      </c>
      <c r="D419" s="32" t="s">
        <v>86</v>
      </c>
      <c r="E419" s="32" t="s">
        <v>22</v>
      </c>
      <c r="F419" s="46" t="s">
        <v>324</v>
      </c>
      <c r="G419" s="32" t="s">
        <v>325</v>
      </c>
      <c r="H419" s="32" t="s">
        <v>1414</v>
      </c>
      <c r="I419" s="34">
        <v>1</v>
      </c>
      <c r="J419" s="32" t="s">
        <v>89</v>
      </c>
      <c r="K419" s="32" t="s">
        <v>28</v>
      </c>
      <c r="L419" s="32" t="s">
        <v>29</v>
      </c>
      <c r="M419" s="32" t="s">
        <v>327</v>
      </c>
      <c r="N419" s="32" t="s">
        <v>1254</v>
      </c>
    </row>
    <row r="420" spans="1:14" s="4" customFormat="1" ht="15.75" customHeight="1" x14ac:dyDescent="0.25">
      <c r="A420" s="49">
        <v>4766</v>
      </c>
      <c r="B420" s="32" t="s">
        <v>19</v>
      </c>
      <c r="C420" s="32" t="s">
        <v>20</v>
      </c>
      <c r="D420" s="32" t="s">
        <v>86</v>
      </c>
      <c r="E420" s="32" t="s">
        <v>22</v>
      </c>
      <c r="F420" s="46" t="s">
        <v>98</v>
      </c>
      <c r="G420" s="32" t="s">
        <v>99</v>
      </c>
      <c r="H420" s="32" t="s">
        <v>1376</v>
      </c>
      <c r="I420" s="34">
        <v>1</v>
      </c>
      <c r="J420" s="32" t="s">
        <v>89</v>
      </c>
      <c r="K420" s="32" t="s">
        <v>28</v>
      </c>
      <c r="L420" s="32" t="s">
        <v>29</v>
      </c>
      <c r="M420" s="32" t="s">
        <v>101</v>
      </c>
      <c r="N420" s="32" t="s">
        <v>1255</v>
      </c>
    </row>
    <row r="421" spans="1:14" s="4" customFormat="1" ht="15.75" customHeight="1" x14ac:dyDescent="0.25">
      <c r="A421" s="49">
        <v>-205.84</v>
      </c>
      <c r="B421" s="32" t="s">
        <v>19</v>
      </c>
      <c r="C421" s="32" t="s">
        <v>20</v>
      </c>
      <c r="D421" s="32" t="s">
        <v>21</v>
      </c>
      <c r="E421" s="32" t="s">
        <v>22</v>
      </c>
      <c r="F421" s="46" t="s">
        <v>61</v>
      </c>
      <c r="G421" s="32" t="s">
        <v>62</v>
      </c>
      <c r="H421" s="32" t="s">
        <v>1370</v>
      </c>
      <c r="I421" s="34">
        <v>1</v>
      </c>
      <c r="J421" s="32" t="s">
        <v>27</v>
      </c>
      <c r="K421" s="32" t="s">
        <v>28</v>
      </c>
      <c r="L421" s="32" t="s">
        <v>29</v>
      </c>
      <c r="M421" s="32" t="s">
        <v>65</v>
      </c>
      <c r="N421" s="32" t="s">
        <v>1257</v>
      </c>
    </row>
    <row r="422" spans="1:14" s="4" customFormat="1" ht="15.75" customHeight="1" x14ac:dyDescent="0.25">
      <c r="A422" s="49">
        <v>3394.5</v>
      </c>
      <c r="B422" s="32" t="s">
        <v>19</v>
      </c>
      <c r="C422" s="32" t="s">
        <v>20</v>
      </c>
      <c r="D422" s="32" t="s">
        <v>21</v>
      </c>
      <c r="E422" s="32" t="s">
        <v>22</v>
      </c>
      <c r="F422" s="46" t="s">
        <v>201</v>
      </c>
      <c r="G422" s="32" t="s">
        <v>202</v>
      </c>
      <c r="H422" s="32" t="s">
        <v>1393</v>
      </c>
      <c r="I422" s="34">
        <v>1</v>
      </c>
      <c r="J422" s="32" t="s">
        <v>27</v>
      </c>
      <c r="K422" s="32" t="s">
        <v>28</v>
      </c>
      <c r="L422" s="32" t="s">
        <v>29</v>
      </c>
      <c r="M422" s="32" t="s">
        <v>204</v>
      </c>
      <c r="N422" s="32" t="s">
        <v>1258</v>
      </c>
    </row>
    <row r="423" spans="1:14" s="4" customFormat="1" ht="15.75" customHeight="1" x14ac:dyDescent="0.25">
      <c r="A423" s="49">
        <v>4134.5</v>
      </c>
      <c r="B423" s="32" t="s">
        <v>19</v>
      </c>
      <c r="C423" s="32" t="s">
        <v>20</v>
      </c>
      <c r="D423" s="32" t="s">
        <v>21</v>
      </c>
      <c r="E423" s="32" t="s">
        <v>22</v>
      </c>
      <c r="F423" s="46" t="s">
        <v>145</v>
      </c>
      <c r="G423" s="32" t="s">
        <v>146</v>
      </c>
      <c r="H423" s="32" t="s">
        <v>1383</v>
      </c>
      <c r="I423" s="34">
        <v>1</v>
      </c>
      <c r="J423" s="32" t="s">
        <v>27</v>
      </c>
      <c r="K423" s="32" t="s">
        <v>28</v>
      </c>
      <c r="L423" s="32" t="s">
        <v>29</v>
      </c>
      <c r="M423" s="32" t="s">
        <v>148</v>
      </c>
      <c r="N423" s="32" t="s">
        <v>1259</v>
      </c>
    </row>
    <row r="424" spans="1:14" s="4" customFormat="1" ht="15.75" customHeight="1" x14ac:dyDescent="0.25">
      <c r="A424" s="49">
        <v>5212</v>
      </c>
      <c r="B424" s="32" t="s">
        <v>19</v>
      </c>
      <c r="C424" s="32" t="s">
        <v>20</v>
      </c>
      <c r="D424" s="32" t="s">
        <v>21</v>
      </c>
      <c r="E424" s="32" t="s">
        <v>22</v>
      </c>
      <c r="F424" s="46" t="s">
        <v>239</v>
      </c>
      <c r="G424" s="32" t="s">
        <v>240</v>
      </c>
      <c r="H424" s="32" t="s">
        <v>1400</v>
      </c>
      <c r="I424" s="34">
        <v>1</v>
      </c>
      <c r="J424" s="32" t="s">
        <v>27</v>
      </c>
      <c r="K424" s="32" t="s">
        <v>28</v>
      </c>
      <c r="L424" s="32" t="s">
        <v>29</v>
      </c>
      <c r="M424" s="32" t="s">
        <v>242</v>
      </c>
      <c r="N424" s="32" t="s">
        <v>1260</v>
      </c>
    </row>
    <row r="425" spans="1:14" s="4" customFormat="1" ht="15.75" customHeight="1" x14ac:dyDescent="0.25">
      <c r="A425" s="49">
        <v>3160.5</v>
      </c>
      <c r="B425" s="32" t="s">
        <v>19</v>
      </c>
      <c r="C425" s="32" t="s">
        <v>20</v>
      </c>
      <c r="D425" s="32" t="s">
        <v>21</v>
      </c>
      <c r="E425" s="32" t="s">
        <v>22</v>
      </c>
      <c r="F425" s="46" t="s">
        <v>39</v>
      </c>
      <c r="G425" s="32" t="s">
        <v>493</v>
      </c>
      <c r="H425" s="32" t="s">
        <v>1444</v>
      </c>
      <c r="I425" s="34">
        <v>1</v>
      </c>
      <c r="J425" s="32" t="s">
        <v>27</v>
      </c>
      <c r="K425" s="32" t="s">
        <v>28</v>
      </c>
      <c r="L425" s="32" t="s">
        <v>29</v>
      </c>
      <c r="M425" s="32" t="s">
        <v>42</v>
      </c>
      <c r="N425" s="32" t="s">
        <v>1261</v>
      </c>
    </row>
    <row r="426" spans="1:14" s="4" customFormat="1" ht="15.75" customHeight="1" x14ac:dyDescent="0.25">
      <c r="A426" s="49">
        <v>4274</v>
      </c>
      <c r="B426" s="32" t="s">
        <v>19</v>
      </c>
      <c r="C426" s="32" t="s">
        <v>20</v>
      </c>
      <c r="D426" s="32" t="s">
        <v>21</v>
      </c>
      <c r="E426" s="32" t="s">
        <v>22</v>
      </c>
      <c r="F426" s="46" t="s">
        <v>39</v>
      </c>
      <c r="G426" s="32" t="s">
        <v>636</v>
      </c>
      <c r="H426" s="32" t="s">
        <v>1465</v>
      </c>
      <c r="I426" s="34">
        <v>1</v>
      </c>
      <c r="J426" s="32" t="s">
        <v>27</v>
      </c>
      <c r="K426" s="32" t="s">
        <v>28</v>
      </c>
      <c r="L426" s="32" t="s">
        <v>29</v>
      </c>
      <c r="M426" s="32" t="s">
        <v>42</v>
      </c>
      <c r="N426" s="32" t="s">
        <v>1262</v>
      </c>
    </row>
    <row r="427" spans="1:14" s="4" customFormat="1" ht="15.75" customHeight="1" x14ac:dyDescent="0.25">
      <c r="A427" s="49">
        <v>3160.5</v>
      </c>
      <c r="B427" s="32" t="s">
        <v>19</v>
      </c>
      <c r="C427" s="32" t="s">
        <v>20</v>
      </c>
      <c r="D427" s="32" t="s">
        <v>21</v>
      </c>
      <c r="E427" s="32" t="s">
        <v>22</v>
      </c>
      <c r="F427" s="46" t="s">
        <v>516</v>
      </c>
      <c r="G427" s="32" t="s">
        <v>517</v>
      </c>
      <c r="H427" s="32" t="s">
        <v>1449</v>
      </c>
      <c r="I427" s="34">
        <v>1</v>
      </c>
      <c r="J427" s="32" t="s">
        <v>27</v>
      </c>
      <c r="K427" s="32" t="s">
        <v>28</v>
      </c>
      <c r="L427" s="32" t="s">
        <v>29</v>
      </c>
      <c r="M427" s="32" t="s">
        <v>519</v>
      </c>
      <c r="N427" s="32" t="s">
        <v>1263</v>
      </c>
    </row>
    <row r="428" spans="1:14" s="4" customFormat="1" ht="15.75" customHeight="1" x14ac:dyDescent="0.25">
      <c r="A428" s="49">
        <v>5478</v>
      </c>
      <c r="B428" s="32" t="s">
        <v>19</v>
      </c>
      <c r="C428" s="32" t="s">
        <v>20</v>
      </c>
      <c r="D428" s="32" t="s">
        <v>21</v>
      </c>
      <c r="E428" s="32" t="s">
        <v>22</v>
      </c>
      <c r="F428" s="46" t="s">
        <v>167</v>
      </c>
      <c r="G428" s="32" t="s">
        <v>484</v>
      </c>
      <c r="H428" s="32" t="s">
        <v>1442</v>
      </c>
      <c r="I428" s="34">
        <v>1</v>
      </c>
      <c r="J428" s="32" t="s">
        <v>27</v>
      </c>
      <c r="K428" s="32" t="s">
        <v>28</v>
      </c>
      <c r="L428" s="32" t="s">
        <v>29</v>
      </c>
      <c r="M428" s="32" t="s">
        <v>170</v>
      </c>
      <c r="N428" s="32" t="s">
        <v>1264</v>
      </c>
    </row>
    <row r="429" spans="1:14" s="4" customFormat="1" ht="15.75" customHeight="1" x14ac:dyDescent="0.25">
      <c r="A429" s="49">
        <v>5478</v>
      </c>
      <c r="B429" s="32" t="s">
        <v>19</v>
      </c>
      <c r="C429" s="32" t="s">
        <v>20</v>
      </c>
      <c r="D429" s="32" t="s">
        <v>21</v>
      </c>
      <c r="E429" s="32" t="s">
        <v>22</v>
      </c>
      <c r="F429" s="46" t="s">
        <v>167</v>
      </c>
      <c r="G429" s="32" t="s">
        <v>168</v>
      </c>
      <c r="H429" s="32" t="s">
        <v>1387</v>
      </c>
      <c r="I429" s="34">
        <v>1</v>
      </c>
      <c r="J429" s="32" t="s">
        <v>27</v>
      </c>
      <c r="K429" s="32" t="s">
        <v>28</v>
      </c>
      <c r="L429" s="32" t="s">
        <v>29</v>
      </c>
      <c r="M429" s="32" t="s">
        <v>170</v>
      </c>
      <c r="N429" s="32" t="s">
        <v>1265</v>
      </c>
    </row>
    <row r="430" spans="1:14" s="4" customFormat="1" ht="15.75" customHeight="1" x14ac:dyDescent="0.25">
      <c r="A430" s="49">
        <v>4134.5</v>
      </c>
      <c r="B430" s="32" t="s">
        <v>19</v>
      </c>
      <c r="C430" s="32" t="s">
        <v>20</v>
      </c>
      <c r="D430" s="32" t="s">
        <v>21</v>
      </c>
      <c r="E430" s="32" t="s">
        <v>22</v>
      </c>
      <c r="F430" s="46" t="s">
        <v>145</v>
      </c>
      <c r="G430" s="32" t="s">
        <v>146</v>
      </c>
      <c r="H430" s="32" t="s">
        <v>1383</v>
      </c>
      <c r="I430" s="34">
        <v>2</v>
      </c>
      <c r="J430" s="32" t="s">
        <v>27</v>
      </c>
      <c r="K430" s="32" t="s">
        <v>28</v>
      </c>
      <c r="L430" s="32" t="s">
        <v>29</v>
      </c>
      <c r="M430" s="32" t="s">
        <v>148</v>
      </c>
      <c r="N430" s="32" t="s">
        <v>1266</v>
      </c>
    </row>
    <row r="431" spans="1:14" s="4" customFormat="1" ht="15.75" customHeight="1" x14ac:dyDescent="0.25">
      <c r="A431" s="49">
        <v>4672</v>
      </c>
      <c r="B431" s="32" t="s">
        <v>19</v>
      </c>
      <c r="C431" s="32" t="s">
        <v>20</v>
      </c>
      <c r="D431" s="32" t="s">
        <v>21</v>
      </c>
      <c r="E431" s="32" t="s">
        <v>22</v>
      </c>
      <c r="F431" s="46" t="s">
        <v>1208</v>
      </c>
      <c r="G431" s="32" t="s">
        <v>1209</v>
      </c>
      <c r="H431" s="32" t="s">
        <v>1551</v>
      </c>
      <c r="I431" s="34">
        <v>2</v>
      </c>
      <c r="J431" s="32" t="s">
        <v>27</v>
      </c>
      <c r="K431" s="32" t="s">
        <v>28</v>
      </c>
      <c r="L431" s="32" t="s">
        <v>29</v>
      </c>
      <c r="M431" s="32" t="s">
        <v>1211</v>
      </c>
      <c r="N431" s="32" t="s">
        <v>1267</v>
      </c>
    </row>
    <row r="432" spans="1:14" s="4" customFormat="1" ht="15.75" customHeight="1" x14ac:dyDescent="0.25">
      <c r="A432" s="49">
        <v>400.35</v>
      </c>
      <c r="B432" s="32" t="s">
        <v>19</v>
      </c>
      <c r="C432" s="32" t="s">
        <v>667</v>
      </c>
      <c r="D432" s="32" t="s">
        <v>668</v>
      </c>
      <c r="E432" s="32" t="s">
        <v>125</v>
      </c>
      <c r="F432" s="46" t="s">
        <v>1269</v>
      </c>
      <c r="G432" s="32" t="s">
        <v>1270</v>
      </c>
      <c r="H432" s="32" t="s">
        <v>1555</v>
      </c>
      <c r="I432" s="34">
        <v>10</v>
      </c>
      <c r="J432" s="32" t="s">
        <v>673</v>
      </c>
      <c r="K432" s="32" t="s">
        <v>28</v>
      </c>
      <c r="L432" s="32" t="s">
        <v>131</v>
      </c>
      <c r="M432" s="32" t="s">
        <v>1272</v>
      </c>
      <c r="N432" s="32" t="s">
        <v>1273</v>
      </c>
    </row>
    <row r="433" spans="1:14" s="4" customFormat="1" ht="15.75" customHeight="1" x14ac:dyDescent="0.25">
      <c r="A433" s="49">
        <v>5152.5</v>
      </c>
      <c r="B433" s="32" t="s">
        <v>19</v>
      </c>
      <c r="C433" s="32" t="s">
        <v>20</v>
      </c>
      <c r="D433" s="32" t="s">
        <v>21</v>
      </c>
      <c r="E433" s="32" t="s">
        <v>22</v>
      </c>
      <c r="F433" s="46" t="s">
        <v>267</v>
      </c>
      <c r="G433" s="32" t="s">
        <v>268</v>
      </c>
      <c r="H433" s="32" t="s">
        <v>1405</v>
      </c>
      <c r="I433" s="34">
        <v>2</v>
      </c>
      <c r="J433" s="32" t="s">
        <v>27</v>
      </c>
      <c r="K433" s="32" t="s">
        <v>28</v>
      </c>
      <c r="L433" s="32" t="s">
        <v>29</v>
      </c>
      <c r="M433" s="32" t="s">
        <v>270</v>
      </c>
      <c r="N433" s="32" t="s">
        <v>1274</v>
      </c>
    </row>
    <row r="434" spans="1:14" s="4" customFormat="1" ht="15.75" customHeight="1" x14ac:dyDescent="0.25">
      <c r="A434" s="49">
        <v>3875</v>
      </c>
      <c r="B434" s="32" t="s">
        <v>19</v>
      </c>
      <c r="C434" s="32" t="s">
        <v>20</v>
      </c>
      <c r="D434" s="32" t="s">
        <v>21</v>
      </c>
      <c r="E434" s="32" t="s">
        <v>22</v>
      </c>
      <c r="F434" s="46" t="s">
        <v>682</v>
      </c>
      <c r="G434" s="32" t="s">
        <v>1276</v>
      </c>
      <c r="H434" s="32" t="s">
        <v>1556</v>
      </c>
      <c r="I434" s="34">
        <v>2</v>
      </c>
      <c r="J434" s="32" t="s">
        <v>27</v>
      </c>
      <c r="K434" s="32" t="s">
        <v>28</v>
      </c>
      <c r="L434" s="32" t="s">
        <v>29</v>
      </c>
      <c r="M434" s="32" t="s">
        <v>685</v>
      </c>
      <c r="N434" s="32" t="s">
        <v>1278</v>
      </c>
    </row>
    <row r="435" spans="1:14" s="4" customFormat="1" ht="15.75" customHeight="1" x14ac:dyDescent="0.25">
      <c r="A435" s="49">
        <v>3467</v>
      </c>
      <c r="B435" s="32" t="s">
        <v>19</v>
      </c>
      <c r="C435" s="32" t="s">
        <v>20</v>
      </c>
      <c r="D435" s="32" t="s">
        <v>86</v>
      </c>
      <c r="E435" s="32" t="s">
        <v>22</v>
      </c>
      <c r="F435" s="46" t="s">
        <v>223</v>
      </c>
      <c r="G435" s="32" t="s">
        <v>423</v>
      </c>
      <c r="H435" s="32" t="s">
        <v>1433</v>
      </c>
      <c r="I435" s="34">
        <v>3</v>
      </c>
      <c r="J435" s="32" t="s">
        <v>89</v>
      </c>
      <c r="K435" s="32" t="s">
        <v>28</v>
      </c>
      <c r="L435" s="32" t="s">
        <v>29</v>
      </c>
      <c r="M435" s="32" t="s">
        <v>226</v>
      </c>
      <c r="N435" s="32" t="s">
        <v>1279</v>
      </c>
    </row>
    <row r="436" spans="1:14" s="4" customFormat="1" ht="15.75" customHeight="1" x14ac:dyDescent="0.25">
      <c r="A436" s="49">
        <v>4229.5</v>
      </c>
      <c r="B436" s="32" t="s">
        <v>19</v>
      </c>
      <c r="C436" s="32" t="s">
        <v>20</v>
      </c>
      <c r="D436" s="32" t="s">
        <v>86</v>
      </c>
      <c r="E436" s="32" t="s">
        <v>22</v>
      </c>
      <c r="F436" s="46" t="s">
        <v>223</v>
      </c>
      <c r="G436" s="32" t="s">
        <v>258</v>
      </c>
      <c r="H436" s="32" t="s">
        <v>1403</v>
      </c>
      <c r="I436" s="34">
        <v>3</v>
      </c>
      <c r="J436" s="32" t="s">
        <v>89</v>
      </c>
      <c r="K436" s="32" t="s">
        <v>28</v>
      </c>
      <c r="L436" s="32" t="s">
        <v>29</v>
      </c>
      <c r="M436" s="32" t="s">
        <v>226</v>
      </c>
      <c r="N436" s="32" t="s">
        <v>1280</v>
      </c>
    </row>
    <row r="437" spans="1:14" s="4" customFormat="1" ht="15.75" customHeight="1" x14ac:dyDescent="0.25">
      <c r="A437" s="49">
        <v>6111.5</v>
      </c>
      <c r="B437" s="32" t="s">
        <v>19</v>
      </c>
      <c r="C437" s="32" t="s">
        <v>20</v>
      </c>
      <c r="D437" s="32" t="s">
        <v>86</v>
      </c>
      <c r="E437" s="32" t="s">
        <v>22</v>
      </c>
      <c r="F437" s="46" t="s">
        <v>180</v>
      </c>
      <c r="G437" s="32" t="s">
        <v>181</v>
      </c>
      <c r="H437" s="32" t="s">
        <v>1389</v>
      </c>
      <c r="I437" s="34">
        <v>3</v>
      </c>
      <c r="J437" s="32" t="s">
        <v>89</v>
      </c>
      <c r="K437" s="32" t="s">
        <v>28</v>
      </c>
      <c r="L437" s="32" t="s">
        <v>29</v>
      </c>
      <c r="M437" s="32" t="s">
        <v>183</v>
      </c>
      <c r="N437" s="32" t="s">
        <v>1281</v>
      </c>
    </row>
    <row r="438" spans="1:14" s="4" customFormat="1" ht="15.75" customHeight="1" x14ac:dyDescent="0.25">
      <c r="A438" s="49">
        <v>4659</v>
      </c>
      <c r="B438" s="32" t="s">
        <v>19</v>
      </c>
      <c r="C438" s="32" t="s">
        <v>20</v>
      </c>
      <c r="D438" s="32" t="s">
        <v>21</v>
      </c>
      <c r="E438" s="32" t="s">
        <v>22</v>
      </c>
      <c r="F438" s="46" t="s">
        <v>1107</v>
      </c>
      <c r="G438" s="32" t="s">
        <v>1108</v>
      </c>
      <c r="H438" s="32" t="s">
        <v>1541</v>
      </c>
      <c r="I438" s="34">
        <v>3</v>
      </c>
      <c r="J438" s="32" t="s">
        <v>27</v>
      </c>
      <c r="K438" s="32" t="s">
        <v>28</v>
      </c>
      <c r="L438" s="32" t="s">
        <v>29</v>
      </c>
      <c r="M438" s="32" t="s">
        <v>1110</v>
      </c>
      <c r="N438" s="32" t="s">
        <v>1282</v>
      </c>
    </row>
    <row r="439" spans="1:14" s="4" customFormat="1" ht="15.75" customHeight="1" x14ac:dyDescent="0.25">
      <c r="A439" s="49">
        <v>3394.5</v>
      </c>
      <c r="B439" s="32" t="s">
        <v>19</v>
      </c>
      <c r="C439" s="32" t="s">
        <v>20</v>
      </c>
      <c r="D439" s="32" t="s">
        <v>21</v>
      </c>
      <c r="E439" s="32" t="s">
        <v>22</v>
      </c>
      <c r="F439" s="46" t="s">
        <v>201</v>
      </c>
      <c r="G439" s="32" t="s">
        <v>202</v>
      </c>
      <c r="H439" s="32" t="s">
        <v>1393</v>
      </c>
      <c r="I439" s="34">
        <v>3</v>
      </c>
      <c r="J439" s="32" t="s">
        <v>27</v>
      </c>
      <c r="K439" s="32" t="s">
        <v>28</v>
      </c>
      <c r="L439" s="32" t="s">
        <v>29</v>
      </c>
      <c r="M439" s="32" t="s">
        <v>204</v>
      </c>
      <c r="N439" s="32" t="s">
        <v>1283</v>
      </c>
    </row>
    <row r="440" spans="1:14" s="4" customFormat="1" ht="15.75" customHeight="1" x14ac:dyDescent="0.25">
      <c r="A440" s="49">
        <v>4280.5</v>
      </c>
      <c r="B440" s="32" t="s">
        <v>19</v>
      </c>
      <c r="C440" s="32" t="s">
        <v>20</v>
      </c>
      <c r="D440" s="32" t="s">
        <v>21</v>
      </c>
      <c r="E440" s="32" t="s">
        <v>22</v>
      </c>
      <c r="F440" s="46" t="s">
        <v>201</v>
      </c>
      <c r="G440" s="32" t="s">
        <v>476</v>
      </c>
      <c r="H440" s="32" t="s">
        <v>1441</v>
      </c>
      <c r="I440" s="34">
        <v>3</v>
      </c>
      <c r="J440" s="32" t="s">
        <v>27</v>
      </c>
      <c r="K440" s="32" t="s">
        <v>28</v>
      </c>
      <c r="L440" s="32" t="s">
        <v>29</v>
      </c>
      <c r="M440" s="32" t="s">
        <v>204</v>
      </c>
      <c r="N440" s="32" t="s">
        <v>1284</v>
      </c>
    </row>
    <row r="441" spans="1:14" s="4" customFormat="1" ht="15.75" customHeight="1" x14ac:dyDescent="0.25">
      <c r="A441" s="49">
        <v>2791</v>
      </c>
      <c r="B441" s="32" t="s">
        <v>19</v>
      </c>
      <c r="C441" s="32" t="s">
        <v>20</v>
      </c>
      <c r="D441" s="32" t="s">
        <v>21</v>
      </c>
      <c r="E441" s="32" t="s">
        <v>22</v>
      </c>
      <c r="F441" s="46" t="s">
        <v>75</v>
      </c>
      <c r="G441" s="32" t="s">
        <v>236</v>
      </c>
      <c r="H441" s="32" t="s">
        <v>1399</v>
      </c>
      <c r="I441" s="34">
        <v>3</v>
      </c>
      <c r="J441" s="32" t="s">
        <v>27</v>
      </c>
      <c r="K441" s="32" t="s">
        <v>28</v>
      </c>
      <c r="L441" s="32" t="s">
        <v>29</v>
      </c>
      <c r="M441" s="32" t="s">
        <v>78</v>
      </c>
      <c r="N441" s="32" t="s">
        <v>1285</v>
      </c>
    </row>
    <row r="442" spans="1:14" s="4" customFormat="1" ht="15.75" customHeight="1" x14ac:dyDescent="0.25">
      <c r="A442" s="49">
        <v>3250</v>
      </c>
      <c r="B442" s="32" t="s">
        <v>19</v>
      </c>
      <c r="C442" s="32" t="s">
        <v>20</v>
      </c>
      <c r="D442" s="32" t="s">
        <v>21</v>
      </c>
      <c r="E442" s="32" t="s">
        <v>22</v>
      </c>
      <c r="F442" s="46" t="s">
        <v>516</v>
      </c>
      <c r="G442" s="32" t="s">
        <v>517</v>
      </c>
      <c r="H442" s="32" t="s">
        <v>1449</v>
      </c>
      <c r="I442" s="34">
        <v>3</v>
      </c>
      <c r="J442" s="32" t="s">
        <v>27</v>
      </c>
      <c r="K442" s="32" t="s">
        <v>28</v>
      </c>
      <c r="L442" s="32" t="s">
        <v>29</v>
      </c>
      <c r="M442" s="32" t="s">
        <v>519</v>
      </c>
      <c r="N442" s="32" t="s">
        <v>1286</v>
      </c>
    </row>
    <row r="443" spans="1:14" s="4" customFormat="1" ht="15.75" customHeight="1" x14ac:dyDescent="0.25">
      <c r="A443" s="49">
        <v>2783.5</v>
      </c>
      <c r="B443" s="32" t="s">
        <v>19</v>
      </c>
      <c r="C443" s="32" t="s">
        <v>20</v>
      </c>
      <c r="D443" s="32" t="s">
        <v>21</v>
      </c>
      <c r="E443" s="32" t="s">
        <v>22</v>
      </c>
      <c r="F443" s="46" t="s">
        <v>152</v>
      </c>
      <c r="G443" s="32" t="s">
        <v>1287</v>
      </c>
      <c r="H443" s="32" t="s">
        <v>1557</v>
      </c>
      <c r="I443" s="34">
        <v>3</v>
      </c>
      <c r="J443" s="32" t="s">
        <v>27</v>
      </c>
      <c r="K443" s="32" t="s">
        <v>28</v>
      </c>
      <c r="L443" s="32" t="s">
        <v>29</v>
      </c>
      <c r="M443" s="32" t="s">
        <v>155</v>
      </c>
      <c r="N443" s="32" t="s">
        <v>1289</v>
      </c>
    </row>
    <row r="444" spans="1:14" s="4" customFormat="1" ht="15.75" customHeight="1" x14ac:dyDescent="0.25">
      <c r="A444" s="49">
        <v>5816.5</v>
      </c>
      <c r="B444" s="32" t="s">
        <v>19</v>
      </c>
      <c r="C444" s="32" t="s">
        <v>20</v>
      </c>
      <c r="D444" s="32" t="s">
        <v>21</v>
      </c>
      <c r="E444" s="32" t="s">
        <v>22</v>
      </c>
      <c r="F444" s="46" t="s">
        <v>253</v>
      </c>
      <c r="G444" s="32" t="s">
        <v>254</v>
      </c>
      <c r="H444" s="32" t="s">
        <v>1402</v>
      </c>
      <c r="I444" s="34">
        <v>3</v>
      </c>
      <c r="J444" s="32" t="s">
        <v>27</v>
      </c>
      <c r="K444" s="32" t="s">
        <v>28</v>
      </c>
      <c r="L444" s="32" t="s">
        <v>29</v>
      </c>
      <c r="M444" s="32" t="s">
        <v>256</v>
      </c>
      <c r="N444" s="32" t="s">
        <v>1290</v>
      </c>
    </row>
    <row r="445" spans="1:14" s="4" customFormat="1" ht="15.75" customHeight="1" x14ac:dyDescent="0.25">
      <c r="A445" s="49">
        <v>4579.5</v>
      </c>
      <c r="B445" s="32" t="s">
        <v>19</v>
      </c>
      <c r="C445" s="32" t="s">
        <v>20</v>
      </c>
      <c r="D445" s="32" t="s">
        <v>86</v>
      </c>
      <c r="E445" s="32" t="s">
        <v>22</v>
      </c>
      <c r="F445" s="46" t="s">
        <v>501</v>
      </c>
      <c r="G445" s="32" t="s">
        <v>502</v>
      </c>
      <c r="H445" s="32" t="s">
        <v>1446</v>
      </c>
      <c r="I445" s="34">
        <v>4</v>
      </c>
      <c r="J445" s="32" t="s">
        <v>89</v>
      </c>
      <c r="K445" s="32" t="s">
        <v>28</v>
      </c>
      <c r="L445" s="32" t="s">
        <v>29</v>
      </c>
      <c r="M445" s="32" t="s">
        <v>504</v>
      </c>
      <c r="N445" s="32" t="s">
        <v>1291</v>
      </c>
    </row>
    <row r="446" spans="1:14" s="4" customFormat="1" ht="15.75" customHeight="1" x14ac:dyDescent="0.25">
      <c r="A446" s="49">
        <v>2665.5</v>
      </c>
      <c r="B446" s="32" t="s">
        <v>19</v>
      </c>
      <c r="C446" s="32" t="s">
        <v>20</v>
      </c>
      <c r="D446" s="32" t="s">
        <v>21</v>
      </c>
      <c r="E446" s="32" t="s">
        <v>22</v>
      </c>
      <c r="F446" s="46" t="s">
        <v>75</v>
      </c>
      <c r="G446" s="32" t="s">
        <v>399</v>
      </c>
      <c r="H446" s="32" t="s">
        <v>1428</v>
      </c>
      <c r="I446" s="34">
        <v>4</v>
      </c>
      <c r="J446" s="32" t="s">
        <v>27</v>
      </c>
      <c r="K446" s="32" t="s">
        <v>28</v>
      </c>
      <c r="L446" s="32" t="s">
        <v>29</v>
      </c>
      <c r="M446" s="32" t="s">
        <v>78</v>
      </c>
      <c r="N446" s="32" t="s">
        <v>1292</v>
      </c>
    </row>
    <row r="447" spans="1:14" s="4" customFormat="1" ht="15.75" customHeight="1" x14ac:dyDescent="0.25">
      <c r="A447" s="49">
        <v>4274</v>
      </c>
      <c r="B447" s="32" t="s">
        <v>19</v>
      </c>
      <c r="C447" s="32" t="s">
        <v>20</v>
      </c>
      <c r="D447" s="32" t="s">
        <v>21</v>
      </c>
      <c r="E447" s="32" t="s">
        <v>22</v>
      </c>
      <c r="F447" s="46" t="s">
        <v>39</v>
      </c>
      <c r="G447" s="32" t="s">
        <v>287</v>
      </c>
      <c r="H447" s="32" t="s">
        <v>1408</v>
      </c>
      <c r="I447" s="34">
        <v>4</v>
      </c>
      <c r="J447" s="32" t="s">
        <v>27</v>
      </c>
      <c r="K447" s="32" t="s">
        <v>28</v>
      </c>
      <c r="L447" s="32" t="s">
        <v>29</v>
      </c>
      <c r="M447" s="32" t="s">
        <v>42</v>
      </c>
      <c r="N447" s="32" t="s">
        <v>1293</v>
      </c>
    </row>
    <row r="448" spans="1:14" s="4" customFormat="1" ht="15.75" customHeight="1" x14ac:dyDescent="0.25">
      <c r="A448" s="49">
        <v>4423</v>
      </c>
      <c r="B448" s="32" t="s">
        <v>19</v>
      </c>
      <c r="C448" s="32" t="s">
        <v>20</v>
      </c>
      <c r="D448" s="32" t="s">
        <v>21</v>
      </c>
      <c r="E448" s="32" t="s">
        <v>22</v>
      </c>
      <c r="F448" s="46" t="s">
        <v>682</v>
      </c>
      <c r="G448" s="32" t="s">
        <v>683</v>
      </c>
      <c r="H448" s="32" t="s">
        <v>1469</v>
      </c>
      <c r="I448" s="34">
        <v>4</v>
      </c>
      <c r="J448" s="32" t="s">
        <v>27</v>
      </c>
      <c r="K448" s="32" t="s">
        <v>28</v>
      </c>
      <c r="L448" s="32" t="s">
        <v>29</v>
      </c>
      <c r="M448" s="32" t="s">
        <v>685</v>
      </c>
      <c r="N448" s="32" t="s">
        <v>1294</v>
      </c>
    </row>
    <row r="449" spans="1:15" ht="15.75" customHeight="1" x14ac:dyDescent="0.25">
      <c r="A449" s="49">
        <v>3768.5</v>
      </c>
      <c r="B449" s="32" t="s">
        <v>19</v>
      </c>
      <c r="C449" s="32" t="s">
        <v>20</v>
      </c>
      <c r="D449" s="32" t="s">
        <v>21</v>
      </c>
      <c r="E449" s="32" t="s">
        <v>22</v>
      </c>
      <c r="F449" s="46" t="s">
        <v>152</v>
      </c>
      <c r="G449" s="32" t="s">
        <v>510</v>
      </c>
      <c r="H449" s="32" t="s">
        <v>1447</v>
      </c>
      <c r="I449" s="34">
        <v>4</v>
      </c>
      <c r="J449" s="32" t="s">
        <v>27</v>
      </c>
      <c r="K449" s="32" t="s">
        <v>28</v>
      </c>
      <c r="L449" s="32" t="s">
        <v>29</v>
      </c>
      <c r="M449" s="32" t="s">
        <v>155</v>
      </c>
      <c r="N449" s="32" t="s">
        <v>1295</v>
      </c>
    </row>
    <row r="450" spans="1:15" ht="15.75" customHeight="1" x14ac:dyDescent="0.25">
      <c r="A450" s="49">
        <v>4134.5</v>
      </c>
      <c r="B450" s="32" t="s">
        <v>19</v>
      </c>
      <c r="C450" s="32" t="s">
        <v>20</v>
      </c>
      <c r="D450" s="32" t="s">
        <v>21</v>
      </c>
      <c r="E450" s="32" t="s">
        <v>22</v>
      </c>
      <c r="F450" s="46" t="s">
        <v>152</v>
      </c>
      <c r="G450" s="32" t="s">
        <v>193</v>
      </c>
      <c r="H450" s="32" t="s">
        <v>1391</v>
      </c>
      <c r="I450" s="34">
        <v>4</v>
      </c>
      <c r="J450" s="32" t="s">
        <v>27</v>
      </c>
      <c r="K450" s="32" t="s">
        <v>28</v>
      </c>
      <c r="L450" s="32" t="s">
        <v>29</v>
      </c>
      <c r="M450" s="32" t="s">
        <v>155</v>
      </c>
      <c r="N450" s="32" t="s">
        <v>1296</v>
      </c>
    </row>
    <row r="451" spans="1:15" ht="15.75" customHeight="1" x14ac:dyDescent="0.25">
      <c r="A451" s="49">
        <v>4274</v>
      </c>
      <c r="B451" s="32" t="s">
        <v>19</v>
      </c>
      <c r="C451" s="32" t="s">
        <v>20</v>
      </c>
      <c r="D451" s="32" t="s">
        <v>21</v>
      </c>
      <c r="E451" s="32" t="s">
        <v>22</v>
      </c>
      <c r="F451" s="46" t="s">
        <v>55</v>
      </c>
      <c r="G451" s="32" t="s">
        <v>56</v>
      </c>
      <c r="H451" s="32" t="s">
        <v>1369</v>
      </c>
      <c r="I451" s="34">
        <v>4</v>
      </c>
      <c r="J451" s="32" t="s">
        <v>27</v>
      </c>
      <c r="K451" s="32" t="s">
        <v>28</v>
      </c>
      <c r="L451" s="32" t="s">
        <v>29</v>
      </c>
      <c r="M451" s="32" t="s">
        <v>58</v>
      </c>
      <c r="N451" s="32" t="s">
        <v>1297</v>
      </c>
    </row>
    <row r="452" spans="1:15" ht="15.75" customHeight="1" x14ac:dyDescent="0.25">
      <c r="A452" s="49">
        <v>-470.25</v>
      </c>
      <c r="B452" s="32" t="s">
        <v>19</v>
      </c>
      <c r="C452" s="32" t="s">
        <v>20</v>
      </c>
      <c r="D452" s="32" t="s">
        <v>21</v>
      </c>
      <c r="E452" s="32" t="s">
        <v>22</v>
      </c>
      <c r="F452" s="46" t="s">
        <v>33</v>
      </c>
      <c r="G452" s="32" t="s">
        <v>34</v>
      </c>
      <c r="H452" s="32" t="s">
        <v>1365</v>
      </c>
      <c r="I452" s="34">
        <v>5</v>
      </c>
      <c r="J452" s="32" t="s">
        <v>27</v>
      </c>
      <c r="K452" s="32" t="s">
        <v>28</v>
      </c>
      <c r="L452" s="32" t="s">
        <v>29</v>
      </c>
      <c r="M452" s="32" t="s">
        <v>36</v>
      </c>
      <c r="N452" s="32" t="s">
        <v>1299</v>
      </c>
    </row>
    <row r="453" spans="1:15" ht="15.75" customHeight="1" x14ac:dyDescent="0.25">
      <c r="A453" s="49">
        <v>-508.78</v>
      </c>
      <c r="B453" s="32" t="s">
        <v>19</v>
      </c>
      <c r="C453" s="32" t="s">
        <v>20</v>
      </c>
      <c r="D453" s="32" t="s">
        <v>21</v>
      </c>
      <c r="E453" s="32" t="s">
        <v>22</v>
      </c>
      <c r="F453" s="46" t="s">
        <v>61</v>
      </c>
      <c r="G453" s="32" t="s">
        <v>330</v>
      </c>
      <c r="H453" s="32" t="s">
        <v>1415</v>
      </c>
      <c r="I453" s="34">
        <v>5</v>
      </c>
      <c r="J453" s="32" t="s">
        <v>27</v>
      </c>
      <c r="K453" s="32" t="s">
        <v>28</v>
      </c>
      <c r="L453" s="32" t="s">
        <v>29</v>
      </c>
      <c r="M453" s="32" t="s">
        <v>65</v>
      </c>
      <c r="N453" s="32" t="s">
        <v>1301</v>
      </c>
    </row>
    <row r="454" spans="1:15" ht="15.75" customHeight="1" x14ac:dyDescent="0.25">
      <c r="A454" s="49">
        <v>4330</v>
      </c>
      <c r="B454" s="32" t="s">
        <v>19</v>
      </c>
      <c r="C454" s="32" t="s">
        <v>20</v>
      </c>
      <c r="D454" s="32" t="s">
        <v>21</v>
      </c>
      <c r="E454" s="32" t="s">
        <v>22</v>
      </c>
      <c r="F454" s="46" t="s">
        <v>1302</v>
      </c>
      <c r="G454" s="32" t="s">
        <v>1303</v>
      </c>
      <c r="H454" s="32" t="s">
        <v>1558</v>
      </c>
      <c r="I454" s="34">
        <v>5</v>
      </c>
      <c r="J454" s="32" t="s">
        <v>27</v>
      </c>
      <c r="K454" s="32" t="s">
        <v>28</v>
      </c>
      <c r="L454" s="32" t="s">
        <v>29</v>
      </c>
      <c r="M454" s="32" t="s">
        <v>1305</v>
      </c>
      <c r="N454" s="32" t="s">
        <v>1306</v>
      </c>
    </row>
    <row r="455" spans="1:15" ht="15.75" customHeight="1" x14ac:dyDescent="0.25">
      <c r="A455" s="50">
        <v>2384.5500000000002</v>
      </c>
      <c r="B455" s="36" t="s">
        <v>19</v>
      </c>
      <c r="C455" s="36" t="s">
        <v>123</v>
      </c>
      <c r="D455" s="36" t="s">
        <v>124</v>
      </c>
      <c r="E455" s="36" t="s">
        <v>125</v>
      </c>
      <c r="F455" s="47" t="s">
        <v>135</v>
      </c>
      <c r="G455" s="36" t="s">
        <v>354</v>
      </c>
      <c r="H455" s="36" t="s">
        <v>1420</v>
      </c>
      <c r="I455" s="34">
        <v>8</v>
      </c>
      <c r="J455" s="36" t="s">
        <v>130</v>
      </c>
      <c r="K455" s="36" t="s">
        <v>28</v>
      </c>
      <c r="L455" s="36" t="s">
        <v>131</v>
      </c>
      <c r="M455" s="36" t="s">
        <v>138</v>
      </c>
      <c r="N455" s="36" t="s">
        <v>1308</v>
      </c>
      <c r="O455"/>
    </row>
    <row r="456" spans="1:15" ht="15.75" customHeight="1" x14ac:dyDescent="0.25">
      <c r="A456" s="49">
        <v>3160.5</v>
      </c>
      <c r="B456" s="32" t="s">
        <v>19</v>
      </c>
      <c r="C456" s="32" t="s">
        <v>20</v>
      </c>
      <c r="D456" s="32" t="s">
        <v>21</v>
      </c>
      <c r="E456" s="32" t="s">
        <v>22</v>
      </c>
      <c r="F456" s="46" t="s">
        <v>39</v>
      </c>
      <c r="G456" s="32" t="s">
        <v>493</v>
      </c>
      <c r="H456" s="32" t="s">
        <v>1444</v>
      </c>
      <c r="I456" s="34">
        <v>5</v>
      </c>
      <c r="J456" s="32" t="s">
        <v>27</v>
      </c>
      <c r="K456" s="32" t="s">
        <v>28</v>
      </c>
      <c r="L456" s="32" t="s">
        <v>29</v>
      </c>
      <c r="M456" s="32" t="s">
        <v>42</v>
      </c>
      <c r="N456" s="32" t="s">
        <v>1309</v>
      </c>
    </row>
    <row r="457" spans="1:15" ht="15.75" customHeight="1" x14ac:dyDescent="0.25">
      <c r="A457" s="49">
        <v>4274</v>
      </c>
      <c r="B457" s="32" t="s">
        <v>19</v>
      </c>
      <c r="C457" s="32" t="s">
        <v>20</v>
      </c>
      <c r="D457" s="32" t="s">
        <v>21</v>
      </c>
      <c r="E457" s="32" t="s">
        <v>22</v>
      </c>
      <c r="F457" s="46" t="s">
        <v>39</v>
      </c>
      <c r="G457" s="32" t="s">
        <v>636</v>
      </c>
      <c r="H457" s="32" t="s">
        <v>1465</v>
      </c>
      <c r="I457" s="34">
        <v>5</v>
      </c>
      <c r="J457" s="32" t="s">
        <v>27</v>
      </c>
      <c r="K457" s="32" t="s">
        <v>28</v>
      </c>
      <c r="L457" s="32" t="s">
        <v>29</v>
      </c>
      <c r="M457" s="32" t="s">
        <v>42</v>
      </c>
      <c r="N457" s="32" t="s">
        <v>1310</v>
      </c>
    </row>
    <row r="458" spans="1:15" ht="15.75" customHeight="1" x14ac:dyDescent="0.25">
      <c r="A458" s="49">
        <v>4232.5</v>
      </c>
      <c r="B458" s="32" t="s">
        <v>19</v>
      </c>
      <c r="C458" s="32" t="s">
        <v>20</v>
      </c>
      <c r="D458" s="32" t="s">
        <v>86</v>
      </c>
      <c r="E458" s="32" t="s">
        <v>22</v>
      </c>
      <c r="F458" s="46" t="s">
        <v>298</v>
      </c>
      <c r="G458" s="32" t="s">
        <v>489</v>
      </c>
      <c r="H458" s="32" t="s">
        <v>1443</v>
      </c>
      <c r="I458" s="34">
        <v>6</v>
      </c>
      <c r="J458" s="32" t="s">
        <v>89</v>
      </c>
      <c r="K458" s="32" t="s">
        <v>28</v>
      </c>
      <c r="L458" s="32" t="s">
        <v>29</v>
      </c>
      <c r="M458" s="32" t="s">
        <v>301</v>
      </c>
      <c r="N458" s="32" t="s">
        <v>1311</v>
      </c>
    </row>
    <row r="459" spans="1:15" ht="15.75" customHeight="1" x14ac:dyDescent="0.25">
      <c r="A459" s="49">
        <v>3166.5</v>
      </c>
      <c r="B459" s="32" t="s">
        <v>19</v>
      </c>
      <c r="C459" s="32" t="s">
        <v>20</v>
      </c>
      <c r="D459" s="32" t="s">
        <v>21</v>
      </c>
      <c r="E459" s="32" t="s">
        <v>22</v>
      </c>
      <c r="F459" s="46" t="s">
        <v>152</v>
      </c>
      <c r="G459" s="32" t="s">
        <v>436</v>
      </c>
      <c r="H459" s="32" t="s">
        <v>1435</v>
      </c>
      <c r="I459" s="34">
        <v>6</v>
      </c>
      <c r="J459" s="32" t="s">
        <v>27</v>
      </c>
      <c r="K459" s="32" t="s">
        <v>28</v>
      </c>
      <c r="L459" s="32" t="s">
        <v>29</v>
      </c>
      <c r="M459" s="32" t="s">
        <v>155</v>
      </c>
      <c r="N459" s="32" t="s">
        <v>1312</v>
      </c>
    </row>
    <row r="460" spans="1:15" ht="15.75" customHeight="1" x14ac:dyDescent="0.25">
      <c r="A460" s="49">
        <v>3768.5</v>
      </c>
      <c r="B460" s="32" t="s">
        <v>19</v>
      </c>
      <c r="C460" s="32" t="s">
        <v>20</v>
      </c>
      <c r="D460" s="32" t="s">
        <v>21</v>
      </c>
      <c r="E460" s="32" t="s">
        <v>22</v>
      </c>
      <c r="F460" s="46" t="s">
        <v>152</v>
      </c>
      <c r="G460" s="32" t="s">
        <v>1190</v>
      </c>
      <c r="H460" s="32" t="s">
        <v>1549</v>
      </c>
      <c r="I460" s="34">
        <v>6</v>
      </c>
      <c r="J460" s="32" t="s">
        <v>27</v>
      </c>
      <c r="K460" s="32" t="s">
        <v>28</v>
      </c>
      <c r="L460" s="32" t="s">
        <v>29</v>
      </c>
      <c r="M460" s="32" t="s">
        <v>155</v>
      </c>
      <c r="N460" s="32" t="s">
        <v>1313</v>
      </c>
    </row>
    <row r="461" spans="1:15" ht="15.75" customHeight="1" x14ac:dyDescent="0.25">
      <c r="A461" s="49">
        <v>5212</v>
      </c>
      <c r="B461" s="32" t="s">
        <v>19</v>
      </c>
      <c r="C461" s="32" t="s">
        <v>20</v>
      </c>
      <c r="D461" s="32" t="s">
        <v>21</v>
      </c>
      <c r="E461" s="32" t="s">
        <v>22</v>
      </c>
      <c r="F461" s="46" t="s">
        <v>382</v>
      </c>
      <c r="G461" s="32" t="s">
        <v>383</v>
      </c>
      <c r="H461" s="32" t="s">
        <v>1425</v>
      </c>
      <c r="I461" s="34">
        <v>6</v>
      </c>
      <c r="J461" s="32" t="s">
        <v>27</v>
      </c>
      <c r="K461" s="32" t="s">
        <v>28</v>
      </c>
      <c r="L461" s="32" t="s">
        <v>29</v>
      </c>
      <c r="M461" s="32" t="s">
        <v>385</v>
      </c>
      <c r="N461" s="32" t="s">
        <v>1314</v>
      </c>
    </row>
    <row r="462" spans="1:15" ht="15.75" customHeight="1" x14ac:dyDescent="0.25">
      <c r="A462" s="49">
        <v>3340.5</v>
      </c>
      <c r="B462" s="32" t="s">
        <v>19</v>
      </c>
      <c r="C462" s="32" t="s">
        <v>20</v>
      </c>
      <c r="D462" s="32" t="s">
        <v>21</v>
      </c>
      <c r="E462" s="32" t="s">
        <v>22</v>
      </c>
      <c r="F462" s="46" t="s">
        <v>49</v>
      </c>
      <c r="G462" s="32" t="s">
        <v>387</v>
      </c>
      <c r="H462" s="32" t="s">
        <v>1426</v>
      </c>
      <c r="I462" s="34">
        <v>6</v>
      </c>
      <c r="J462" s="32" t="s">
        <v>27</v>
      </c>
      <c r="K462" s="32" t="s">
        <v>28</v>
      </c>
      <c r="L462" s="32" t="s">
        <v>29</v>
      </c>
      <c r="M462" s="32" t="s">
        <v>52</v>
      </c>
      <c r="N462" s="32" t="s">
        <v>1315</v>
      </c>
    </row>
    <row r="463" spans="1:15" ht="15.75" customHeight="1" x14ac:dyDescent="0.25">
      <c r="A463" s="49">
        <v>4579.5</v>
      </c>
      <c r="B463" s="32" t="s">
        <v>19</v>
      </c>
      <c r="C463" s="32" t="s">
        <v>20</v>
      </c>
      <c r="D463" s="32" t="s">
        <v>86</v>
      </c>
      <c r="E463" s="32" t="s">
        <v>22</v>
      </c>
      <c r="F463" s="46" t="s">
        <v>501</v>
      </c>
      <c r="G463" s="32" t="s">
        <v>502</v>
      </c>
      <c r="H463" s="32" t="s">
        <v>1446</v>
      </c>
      <c r="I463" s="34">
        <v>7</v>
      </c>
      <c r="J463" s="32" t="s">
        <v>89</v>
      </c>
      <c r="K463" s="32" t="s">
        <v>28</v>
      </c>
      <c r="L463" s="32" t="s">
        <v>29</v>
      </c>
      <c r="M463" s="32" t="s">
        <v>504</v>
      </c>
      <c r="N463" s="32" t="s">
        <v>1316</v>
      </c>
    </row>
    <row r="464" spans="1:15" ht="15.75" customHeight="1" x14ac:dyDescent="0.25">
      <c r="A464" s="49">
        <v>4534</v>
      </c>
      <c r="B464" s="32" t="s">
        <v>19</v>
      </c>
      <c r="C464" s="32" t="s">
        <v>20</v>
      </c>
      <c r="D464" s="32" t="s">
        <v>21</v>
      </c>
      <c r="E464" s="32" t="s">
        <v>22</v>
      </c>
      <c r="F464" s="46" t="s">
        <v>61</v>
      </c>
      <c r="G464" s="32" t="s">
        <v>62</v>
      </c>
      <c r="H464" s="32" t="s">
        <v>1370</v>
      </c>
      <c r="I464" s="34">
        <v>7</v>
      </c>
      <c r="J464" s="32" t="s">
        <v>27</v>
      </c>
      <c r="K464" s="32" t="s">
        <v>28</v>
      </c>
      <c r="L464" s="32" t="s">
        <v>29</v>
      </c>
      <c r="M464" s="32" t="s">
        <v>65</v>
      </c>
      <c r="N464" s="32" t="s">
        <v>1317</v>
      </c>
    </row>
    <row r="465" spans="1:14" ht="15.75" customHeight="1" x14ac:dyDescent="0.25">
      <c r="A465" s="49">
        <v>2708</v>
      </c>
      <c r="B465" s="32" t="s">
        <v>19</v>
      </c>
      <c r="C465" s="32" t="s">
        <v>20</v>
      </c>
      <c r="D465" s="32" t="s">
        <v>21</v>
      </c>
      <c r="E465" s="32" t="s">
        <v>22</v>
      </c>
      <c r="F465" s="46" t="s">
        <v>104</v>
      </c>
      <c r="G465" s="32" t="s">
        <v>105</v>
      </c>
      <c r="H465" s="32" t="s">
        <v>1377</v>
      </c>
      <c r="I465" s="34">
        <v>7</v>
      </c>
      <c r="J465" s="32" t="s">
        <v>27</v>
      </c>
      <c r="K465" s="32" t="s">
        <v>28</v>
      </c>
      <c r="L465" s="32" t="s">
        <v>29</v>
      </c>
      <c r="M465" s="32" t="s">
        <v>107</v>
      </c>
      <c r="N465" s="32" t="s">
        <v>1318</v>
      </c>
    </row>
    <row r="466" spans="1:14" ht="15.75" customHeight="1" x14ac:dyDescent="0.25">
      <c r="A466" s="49">
        <v>3360.5</v>
      </c>
      <c r="B466" s="32" t="s">
        <v>19</v>
      </c>
      <c r="C466" s="32" t="s">
        <v>20</v>
      </c>
      <c r="D466" s="32" t="s">
        <v>21</v>
      </c>
      <c r="E466" s="32" t="s">
        <v>22</v>
      </c>
      <c r="F466" s="46" t="s">
        <v>104</v>
      </c>
      <c r="G466" s="32" t="s">
        <v>406</v>
      </c>
      <c r="H466" s="32" t="s">
        <v>1429</v>
      </c>
      <c r="I466" s="34">
        <v>7</v>
      </c>
      <c r="J466" s="32" t="s">
        <v>27</v>
      </c>
      <c r="K466" s="32" t="s">
        <v>28</v>
      </c>
      <c r="L466" s="32" t="s">
        <v>29</v>
      </c>
      <c r="M466" s="32" t="s">
        <v>107</v>
      </c>
      <c r="N466" s="32" t="s">
        <v>1319</v>
      </c>
    </row>
    <row r="467" spans="1:14" ht="15.75" customHeight="1" x14ac:dyDescent="0.25">
      <c r="A467" s="49">
        <v>5088</v>
      </c>
      <c r="B467" s="32" t="s">
        <v>19</v>
      </c>
      <c r="C467" s="32" t="s">
        <v>20</v>
      </c>
      <c r="D467" s="32" t="s">
        <v>21</v>
      </c>
      <c r="E467" s="32" t="s">
        <v>22</v>
      </c>
      <c r="F467" s="46" t="s">
        <v>596</v>
      </c>
      <c r="G467" s="32" t="s">
        <v>597</v>
      </c>
      <c r="H467" s="32" t="s">
        <v>1459</v>
      </c>
      <c r="I467" s="34">
        <v>7</v>
      </c>
      <c r="J467" s="32" t="s">
        <v>27</v>
      </c>
      <c r="K467" s="32" t="s">
        <v>28</v>
      </c>
      <c r="L467" s="32" t="s">
        <v>29</v>
      </c>
      <c r="M467" s="32" t="s">
        <v>599</v>
      </c>
      <c r="N467" s="32" t="s">
        <v>1320</v>
      </c>
    </row>
    <row r="468" spans="1:14" ht="15.75" customHeight="1" x14ac:dyDescent="0.25">
      <c r="A468" s="49">
        <v>4064.5</v>
      </c>
      <c r="B468" s="32" t="s">
        <v>19</v>
      </c>
      <c r="C468" s="32" t="s">
        <v>20</v>
      </c>
      <c r="D468" s="32" t="s">
        <v>86</v>
      </c>
      <c r="E468" s="32" t="s">
        <v>22</v>
      </c>
      <c r="F468" s="46" t="s">
        <v>223</v>
      </c>
      <c r="G468" s="32" t="s">
        <v>224</v>
      </c>
      <c r="H468" s="32" t="s">
        <v>1397</v>
      </c>
      <c r="I468" s="34">
        <v>8</v>
      </c>
      <c r="J468" s="32" t="s">
        <v>89</v>
      </c>
      <c r="K468" s="32" t="s">
        <v>28</v>
      </c>
      <c r="L468" s="32" t="s">
        <v>29</v>
      </c>
      <c r="M468" s="32" t="s">
        <v>226</v>
      </c>
      <c r="N468" s="32" t="s">
        <v>1321</v>
      </c>
    </row>
    <row r="469" spans="1:14" ht="15.75" customHeight="1" x14ac:dyDescent="0.25">
      <c r="A469" s="49">
        <v>7916.5</v>
      </c>
      <c r="B469" s="32" t="s">
        <v>19</v>
      </c>
      <c r="C469" s="32" t="s">
        <v>20</v>
      </c>
      <c r="D469" s="32" t="s">
        <v>86</v>
      </c>
      <c r="E469" s="32" t="s">
        <v>22</v>
      </c>
      <c r="F469" s="46" t="s">
        <v>603</v>
      </c>
      <c r="G469" s="32" t="s">
        <v>604</v>
      </c>
      <c r="H469" s="32" t="s">
        <v>1460</v>
      </c>
      <c r="I469" s="34">
        <v>8</v>
      </c>
      <c r="J469" s="32" t="s">
        <v>89</v>
      </c>
      <c r="K469" s="32" t="s">
        <v>28</v>
      </c>
      <c r="L469" s="32" t="s">
        <v>29</v>
      </c>
      <c r="M469" s="32" t="s">
        <v>606</v>
      </c>
      <c r="N469" s="32" t="s">
        <v>1322</v>
      </c>
    </row>
    <row r="470" spans="1:14" ht="15.75" customHeight="1" x14ac:dyDescent="0.25">
      <c r="A470" s="49">
        <v>731.5</v>
      </c>
      <c r="B470" s="32" t="s">
        <v>19</v>
      </c>
      <c r="C470" s="32" t="s">
        <v>20</v>
      </c>
      <c r="D470" s="32" t="s">
        <v>86</v>
      </c>
      <c r="E470" s="32" t="s">
        <v>22</v>
      </c>
      <c r="F470" s="46" t="s">
        <v>186</v>
      </c>
      <c r="G470" s="32" t="s">
        <v>187</v>
      </c>
      <c r="H470" s="32" t="s">
        <v>1390</v>
      </c>
      <c r="I470" s="34">
        <v>8</v>
      </c>
      <c r="J470" s="32" t="s">
        <v>89</v>
      </c>
      <c r="K470" s="32" t="s">
        <v>28</v>
      </c>
      <c r="L470" s="32" t="s">
        <v>29</v>
      </c>
      <c r="M470" s="32" t="s">
        <v>190</v>
      </c>
      <c r="N470" s="32" t="s">
        <v>1324</v>
      </c>
    </row>
    <row r="471" spans="1:14" ht="15.75" customHeight="1" x14ac:dyDescent="0.25">
      <c r="A471" s="49">
        <v>4534</v>
      </c>
      <c r="B471" s="32" t="s">
        <v>19</v>
      </c>
      <c r="C471" s="32" t="s">
        <v>20</v>
      </c>
      <c r="D471" s="32" t="s">
        <v>21</v>
      </c>
      <c r="E471" s="32" t="s">
        <v>22</v>
      </c>
      <c r="F471" s="46" t="s">
        <v>61</v>
      </c>
      <c r="G471" s="32" t="s">
        <v>452</v>
      </c>
      <c r="H471" s="32" t="s">
        <v>1437</v>
      </c>
      <c r="I471" s="34">
        <v>8</v>
      </c>
      <c r="J471" s="32" t="s">
        <v>27</v>
      </c>
      <c r="K471" s="32" t="s">
        <v>28</v>
      </c>
      <c r="L471" s="32" t="s">
        <v>29</v>
      </c>
      <c r="M471" s="32" t="s">
        <v>65</v>
      </c>
      <c r="N471" s="32" t="s">
        <v>1325</v>
      </c>
    </row>
    <row r="472" spans="1:14" ht="15.75" customHeight="1" x14ac:dyDescent="0.25">
      <c r="A472" s="49">
        <v>4672</v>
      </c>
      <c r="B472" s="32" t="s">
        <v>19</v>
      </c>
      <c r="C472" s="32" t="s">
        <v>20</v>
      </c>
      <c r="D472" s="32" t="s">
        <v>21</v>
      </c>
      <c r="E472" s="32" t="s">
        <v>22</v>
      </c>
      <c r="F472" s="46" t="s">
        <v>314</v>
      </c>
      <c r="G472" s="32" t="s">
        <v>1115</v>
      </c>
      <c r="H472" s="32" t="s">
        <v>1542</v>
      </c>
      <c r="I472" s="34">
        <v>8</v>
      </c>
      <c r="J472" s="32" t="s">
        <v>27</v>
      </c>
      <c r="K472" s="32" t="s">
        <v>28</v>
      </c>
      <c r="L472" s="32" t="s">
        <v>29</v>
      </c>
      <c r="M472" s="32" t="s">
        <v>317</v>
      </c>
      <c r="N472" s="32" t="s">
        <v>1326</v>
      </c>
    </row>
    <row r="473" spans="1:14" ht="15.75" customHeight="1" x14ac:dyDescent="0.25">
      <c r="A473" s="49">
        <v>3467</v>
      </c>
      <c r="B473" s="32" t="s">
        <v>19</v>
      </c>
      <c r="C473" s="32" t="s">
        <v>20</v>
      </c>
      <c r="D473" s="32" t="s">
        <v>86</v>
      </c>
      <c r="E473" s="32" t="s">
        <v>22</v>
      </c>
      <c r="F473" s="46" t="s">
        <v>223</v>
      </c>
      <c r="G473" s="32" t="s">
        <v>423</v>
      </c>
      <c r="H473" s="32" t="s">
        <v>1436</v>
      </c>
      <c r="I473" s="34">
        <v>9</v>
      </c>
      <c r="J473" s="32" t="s">
        <v>89</v>
      </c>
      <c r="K473" s="32" t="s">
        <v>28</v>
      </c>
      <c r="L473" s="32" t="s">
        <v>29</v>
      </c>
      <c r="M473" s="32" t="s">
        <v>226</v>
      </c>
      <c r="N473" s="32" t="s">
        <v>1327</v>
      </c>
    </row>
    <row r="474" spans="1:14" ht="15.75" customHeight="1" x14ac:dyDescent="0.25">
      <c r="A474" s="49">
        <v>3467</v>
      </c>
      <c r="B474" s="32" t="s">
        <v>19</v>
      </c>
      <c r="C474" s="32" t="s">
        <v>20</v>
      </c>
      <c r="D474" s="32" t="s">
        <v>86</v>
      </c>
      <c r="E474" s="32" t="s">
        <v>22</v>
      </c>
      <c r="F474" s="46" t="s">
        <v>223</v>
      </c>
      <c r="G474" s="32" t="s">
        <v>412</v>
      </c>
      <c r="H474" s="32" t="s">
        <v>1430</v>
      </c>
      <c r="I474" s="34">
        <v>9</v>
      </c>
      <c r="J474" s="32" t="s">
        <v>89</v>
      </c>
      <c r="K474" s="32" t="s">
        <v>28</v>
      </c>
      <c r="L474" s="32" t="s">
        <v>29</v>
      </c>
      <c r="M474" s="32" t="s">
        <v>226</v>
      </c>
      <c r="N474" s="32" t="s">
        <v>1328</v>
      </c>
    </row>
    <row r="475" spans="1:14" ht="15.75" customHeight="1" x14ac:dyDescent="0.25">
      <c r="A475" s="49">
        <v>4043</v>
      </c>
      <c r="B475" s="32" t="s">
        <v>19</v>
      </c>
      <c r="C475" s="32" t="s">
        <v>20</v>
      </c>
      <c r="D475" s="32" t="s">
        <v>21</v>
      </c>
      <c r="E475" s="32" t="s">
        <v>22</v>
      </c>
      <c r="F475" s="46" t="s">
        <v>267</v>
      </c>
      <c r="G475" s="32" t="s">
        <v>309</v>
      </c>
      <c r="H475" s="32" t="s">
        <v>1412</v>
      </c>
      <c r="I475" s="34">
        <v>9</v>
      </c>
      <c r="J475" s="32" t="s">
        <v>27</v>
      </c>
      <c r="K475" s="32" t="s">
        <v>28</v>
      </c>
      <c r="L475" s="32" t="s">
        <v>29</v>
      </c>
      <c r="M475" s="32" t="s">
        <v>270</v>
      </c>
      <c r="N475" s="32" t="s">
        <v>1329</v>
      </c>
    </row>
    <row r="476" spans="1:14" ht="15.75" customHeight="1" x14ac:dyDescent="0.25">
      <c r="A476" s="49">
        <v>2783.5</v>
      </c>
      <c r="B476" s="32" t="s">
        <v>19</v>
      </c>
      <c r="C476" s="32" t="s">
        <v>20</v>
      </c>
      <c r="D476" s="32" t="s">
        <v>21</v>
      </c>
      <c r="E476" s="32" t="s">
        <v>22</v>
      </c>
      <c r="F476" s="46" t="s">
        <v>282</v>
      </c>
      <c r="G476" s="32" t="s">
        <v>283</v>
      </c>
      <c r="H476" s="32" t="s">
        <v>1407</v>
      </c>
      <c r="I476" s="34">
        <v>9</v>
      </c>
      <c r="J476" s="32" t="s">
        <v>27</v>
      </c>
      <c r="K476" s="32" t="s">
        <v>28</v>
      </c>
      <c r="L476" s="32" t="s">
        <v>29</v>
      </c>
      <c r="M476" s="32" t="s">
        <v>285</v>
      </c>
      <c r="N476" s="32" t="s">
        <v>1330</v>
      </c>
    </row>
    <row r="477" spans="1:14" ht="15.75" customHeight="1" x14ac:dyDescent="0.25">
      <c r="A477" s="49">
        <v>4274</v>
      </c>
      <c r="B477" s="32" t="s">
        <v>19</v>
      </c>
      <c r="C477" s="32" t="s">
        <v>20</v>
      </c>
      <c r="D477" s="32" t="s">
        <v>21</v>
      </c>
      <c r="E477" s="32" t="s">
        <v>22</v>
      </c>
      <c r="F477" s="46" t="s">
        <v>39</v>
      </c>
      <c r="G477" s="32" t="s">
        <v>287</v>
      </c>
      <c r="H477" s="32" t="s">
        <v>1408</v>
      </c>
      <c r="I477" s="34">
        <v>9</v>
      </c>
      <c r="J477" s="32" t="s">
        <v>27</v>
      </c>
      <c r="K477" s="32" t="s">
        <v>28</v>
      </c>
      <c r="L477" s="32" t="s">
        <v>29</v>
      </c>
      <c r="M477" s="32" t="s">
        <v>42</v>
      </c>
      <c r="N477" s="32" t="s">
        <v>1331</v>
      </c>
    </row>
    <row r="478" spans="1:14" ht="15.75" customHeight="1" x14ac:dyDescent="0.25">
      <c r="A478" s="49">
        <v>4672</v>
      </c>
      <c r="B478" s="32" t="s">
        <v>19</v>
      </c>
      <c r="C478" s="32" t="s">
        <v>20</v>
      </c>
      <c r="D478" s="32" t="s">
        <v>21</v>
      </c>
      <c r="E478" s="32" t="s">
        <v>22</v>
      </c>
      <c r="F478" s="46" t="s">
        <v>314</v>
      </c>
      <c r="G478" s="32" t="s">
        <v>1115</v>
      </c>
      <c r="H478" s="32" t="s">
        <v>1542</v>
      </c>
      <c r="I478" s="34">
        <v>9</v>
      </c>
      <c r="J478" s="32" t="s">
        <v>27</v>
      </c>
      <c r="K478" s="32" t="s">
        <v>28</v>
      </c>
      <c r="L478" s="32" t="s">
        <v>29</v>
      </c>
      <c r="M478" s="32" t="s">
        <v>317</v>
      </c>
      <c r="N478" s="32" t="s">
        <v>1332</v>
      </c>
    </row>
    <row r="479" spans="1:14" ht="15.75" customHeight="1" x14ac:dyDescent="0.25">
      <c r="A479" s="49">
        <v>5317</v>
      </c>
      <c r="B479" s="32" t="s">
        <v>19</v>
      </c>
      <c r="C479" s="32" t="s">
        <v>20</v>
      </c>
      <c r="D479" s="32" t="s">
        <v>21</v>
      </c>
      <c r="E479" s="32" t="s">
        <v>22</v>
      </c>
      <c r="F479" s="46" t="s">
        <v>167</v>
      </c>
      <c r="G479" s="32" t="s">
        <v>390</v>
      </c>
      <c r="H479" s="32" t="s">
        <v>1427</v>
      </c>
      <c r="I479" s="34">
        <v>9</v>
      </c>
      <c r="J479" s="32" t="s">
        <v>27</v>
      </c>
      <c r="K479" s="32" t="s">
        <v>28</v>
      </c>
      <c r="L479" s="32" t="s">
        <v>29</v>
      </c>
      <c r="M479" s="32" t="s">
        <v>170</v>
      </c>
      <c r="N479" s="32" t="s">
        <v>1333</v>
      </c>
    </row>
    <row r="480" spans="1:14" ht="15.75" customHeight="1" x14ac:dyDescent="0.25">
      <c r="A480" s="49">
        <v>3467</v>
      </c>
      <c r="B480" s="32" t="s">
        <v>19</v>
      </c>
      <c r="C480" s="32" t="s">
        <v>20</v>
      </c>
      <c r="D480" s="32" t="s">
        <v>86</v>
      </c>
      <c r="E480" s="32" t="s">
        <v>22</v>
      </c>
      <c r="F480" s="46" t="s">
        <v>223</v>
      </c>
      <c r="G480" s="32" t="s">
        <v>412</v>
      </c>
      <c r="H480" s="32" t="s">
        <v>1430</v>
      </c>
      <c r="I480" s="34">
        <v>10</v>
      </c>
      <c r="J480" s="32" t="s">
        <v>89</v>
      </c>
      <c r="K480" s="32" t="s">
        <v>28</v>
      </c>
      <c r="L480" s="32" t="s">
        <v>29</v>
      </c>
      <c r="M480" s="32" t="s">
        <v>226</v>
      </c>
      <c r="N480" s="32" t="s">
        <v>1334</v>
      </c>
    </row>
    <row r="481" spans="1:14" ht="15.75" customHeight="1" x14ac:dyDescent="0.25">
      <c r="A481" s="49">
        <v>3398</v>
      </c>
      <c r="B481" s="32" t="s">
        <v>19</v>
      </c>
      <c r="C481" s="32" t="s">
        <v>20</v>
      </c>
      <c r="D481" s="32" t="s">
        <v>86</v>
      </c>
      <c r="E481" s="32" t="s">
        <v>22</v>
      </c>
      <c r="F481" s="46" t="s">
        <v>298</v>
      </c>
      <c r="G481" s="32" t="s">
        <v>299</v>
      </c>
      <c r="H481" s="32" t="s">
        <v>1410</v>
      </c>
      <c r="I481" s="34">
        <v>10</v>
      </c>
      <c r="J481" s="32" t="s">
        <v>89</v>
      </c>
      <c r="K481" s="32" t="s">
        <v>28</v>
      </c>
      <c r="L481" s="32" t="s">
        <v>29</v>
      </c>
      <c r="M481" s="32" t="s">
        <v>301</v>
      </c>
      <c r="N481" s="32" t="s">
        <v>1335</v>
      </c>
    </row>
    <row r="482" spans="1:14" ht="15.75" customHeight="1" x14ac:dyDescent="0.25">
      <c r="A482" s="49">
        <v>831.6</v>
      </c>
      <c r="B482" s="32" t="s">
        <v>19</v>
      </c>
      <c r="C482" s="32" t="s">
        <v>20</v>
      </c>
      <c r="D482" s="32" t="s">
        <v>86</v>
      </c>
      <c r="E482" s="32" t="s">
        <v>22</v>
      </c>
      <c r="F482" s="46" t="s">
        <v>186</v>
      </c>
      <c r="G482" s="32" t="s">
        <v>416</v>
      </c>
      <c r="H482" s="32" t="s">
        <v>1431</v>
      </c>
      <c r="I482" s="34">
        <v>10</v>
      </c>
      <c r="J482" s="32" t="s">
        <v>89</v>
      </c>
      <c r="K482" s="32" t="s">
        <v>28</v>
      </c>
      <c r="L482" s="32" t="s">
        <v>29</v>
      </c>
      <c r="M482" s="32" t="s">
        <v>190</v>
      </c>
      <c r="N482" s="32" t="s">
        <v>1337</v>
      </c>
    </row>
    <row r="483" spans="1:14" ht="15.75" customHeight="1" x14ac:dyDescent="0.25">
      <c r="A483" s="49">
        <v>4766</v>
      </c>
      <c r="B483" s="32" t="s">
        <v>19</v>
      </c>
      <c r="C483" s="32" t="s">
        <v>20</v>
      </c>
      <c r="D483" s="32" t="s">
        <v>21</v>
      </c>
      <c r="E483" s="32" t="s">
        <v>22</v>
      </c>
      <c r="F483" s="46" t="s">
        <v>61</v>
      </c>
      <c r="G483" s="32" t="s">
        <v>1338</v>
      </c>
      <c r="H483" s="32" t="s">
        <v>1559</v>
      </c>
      <c r="I483" s="34">
        <v>10</v>
      </c>
      <c r="J483" s="32" t="s">
        <v>27</v>
      </c>
      <c r="K483" s="32" t="s">
        <v>28</v>
      </c>
      <c r="L483" s="32" t="s">
        <v>29</v>
      </c>
      <c r="M483" s="32" t="s">
        <v>65</v>
      </c>
      <c r="N483" s="32" t="s">
        <v>1340</v>
      </c>
    </row>
    <row r="484" spans="1:14" ht="15.75" customHeight="1" x14ac:dyDescent="0.25">
      <c r="A484" s="49">
        <v>4541.5</v>
      </c>
      <c r="B484" s="32" t="s">
        <v>19</v>
      </c>
      <c r="C484" s="32" t="s">
        <v>20</v>
      </c>
      <c r="D484" s="32" t="s">
        <v>21</v>
      </c>
      <c r="E484" s="32" t="s">
        <v>22</v>
      </c>
      <c r="F484" s="46" t="s">
        <v>75</v>
      </c>
      <c r="G484" s="32" t="s">
        <v>376</v>
      </c>
      <c r="H484" s="32" t="s">
        <v>1423</v>
      </c>
      <c r="I484" s="34">
        <v>10</v>
      </c>
      <c r="J484" s="32" t="s">
        <v>27</v>
      </c>
      <c r="K484" s="32" t="s">
        <v>28</v>
      </c>
      <c r="L484" s="32" t="s">
        <v>29</v>
      </c>
      <c r="M484" s="32" t="s">
        <v>78</v>
      </c>
      <c r="N484" s="32" t="s">
        <v>1341</v>
      </c>
    </row>
    <row r="485" spans="1:14" ht="15.75" customHeight="1" x14ac:dyDescent="0.25">
      <c r="A485" s="49">
        <v>5478</v>
      </c>
      <c r="B485" s="32" t="s">
        <v>19</v>
      </c>
      <c r="C485" s="32" t="s">
        <v>20</v>
      </c>
      <c r="D485" s="32" t="s">
        <v>21</v>
      </c>
      <c r="E485" s="32" t="s">
        <v>22</v>
      </c>
      <c r="F485" s="46" t="s">
        <v>167</v>
      </c>
      <c r="G485" s="32" t="s">
        <v>168</v>
      </c>
      <c r="H485" s="32" t="s">
        <v>1387</v>
      </c>
      <c r="I485" s="34">
        <v>10</v>
      </c>
      <c r="J485" s="32" t="s">
        <v>27</v>
      </c>
      <c r="K485" s="32" t="s">
        <v>28</v>
      </c>
      <c r="L485" s="32" t="s">
        <v>29</v>
      </c>
      <c r="M485" s="32" t="s">
        <v>170</v>
      </c>
      <c r="N485" s="32" t="s">
        <v>1342</v>
      </c>
    </row>
    <row r="486" spans="1:14" ht="15.75" customHeight="1" x14ac:dyDescent="0.25">
      <c r="A486" s="49">
        <v>4064.5</v>
      </c>
      <c r="B486" s="32" t="s">
        <v>19</v>
      </c>
      <c r="C486" s="32" t="s">
        <v>20</v>
      </c>
      <c r="D486" s="32" t="s">
        <v>86</v>
      </c>
      <c r="E486" s="32" t="s">
        <v>22</v>
      </c>
      <c r="F486" s="46" t="s">
        <v>223</v>
      </c>
      <c r="G486" s="32" t="s">
        <v>224</v>
      </c>
      <c r="H486" s="32" t="s">
        <v>1397</v>
      </c>
      <c r="I486" s="34">
        <v>11</v>
      </c>
      <c r="J486" s="32" t="s">
        <v>89</v>
      </c>
      <c r="K486" s="32" t="s">
        <v>28</v>
      </c>
      <c r="L486" s="32" t="s">
        <v>29</v>
      </c>
      <c r="M486" s="32" t="s">
        <v>226</v>
      </c>
      <c r="N486" s="32" t="s">
        <v>1343</v>
      </c>
    </row>
    <row r="487" spans="1:14" ht="15.75" customHeight="1" x14ac:dyDescent="0.25">
      <c r="A487" s="49">
        <v>2206.5</v>
      </c>
      <c r="B487" s="32" t="s">
        <v>19</v>
      </c>
      <c r="C487" s="32" t="s">
        <v>20</v>
      </c>
      <c r="D487" s="32" t="s">
        <v>86</v>
      </c>
      <c r="E487" s="32" t="s">
        <v>22</v>
      </c>
      <c r="F487" s="46" t="s">
        <v>324</v>
      </c>
      <c r="G487" s="32" t="s">
        <v>325</v>
      </c>
      <c r="H487" s="32" t="s">
        <v>1414</v>
      </c>
      <c r="I487" s="34">
        <v>11</v>
      </c>
      <c r="J487" s="32" t="s">
        <v>89</v>
      </c>
      <c r="K487" s="32" t="s">
        <v>28</v>
      </c>
      <c r="L487" s="32" t="s">
        <v>29</v>
      </c>
      <c r="M487" s="32" t="s">
        <v>327</v>
      </c>
      <c r="N487" s="32" t="s">
        <v>1344</v>
      </c>
    </row>
    <row r="488" spans="1:14" ht="15.75" customHeight="1" x14ac:dyDescent="0.25">
      <c r="A488" s="49">
        <v>3552</v>
      </c>
      <c r="B488" s="32" t="s">
        <v>19</v>
      </c>
      <c r="C488" s="32" t="s">
        <v>20</v>
      </c>
      <c r="D488" s="32" t="s">
        <v>86</v>
      </c>
      <c r="E488" s="32" t="s">
        <v>22</v>
      </c>
      <c r="F488" s="46" t="s">
        <v>298</v>
      </c>
      <c r="G488" s="35" t="s">
        <v>547</v>
      </c>
      <c r="H488" s="32" t="s">
        <v>1560</v>
      </c>
      <c r="I488" s="34">
        <v>11</v>
      </c>
      <c r="J488" s="32" t="s">
        <v>89</v>
      </c>
      <c r="K488" s="32" t="s">
        <v>28</v>
      </c>
      <c r="L488" s="32" t="s">
        <v>29</v>
      </c>
      <c r="M488" s="32" t="s">
        <v>301</v>
      </c>
      <c r="N488" s="35" t="s">
        <v>1347</v>
      </c>
    </row>
    <row r="489" spans="1:14" ht="15.75" customHeight="1" x14ac:dyDescent="0.25">
      <c r="A489" s="49">
        <v>2783.5</v>
      </c>
      <c r="B489" s="32" t="s">
        <v>19</v>
      </c>
      <c r="C489" s="32" t="s">
        <v>20</v>
      </c>
      <c r="D489" s="32" t="s">
        <v>86</v>
      </c>
      <c r="E489" s="32" t="s">
        <v>22</v>
      </c>
      <c r="F489" s="46" t="s">
        <v>152</v>
      </c>
      <c r="G489" s="35" t="s">
        <v>660</v>
      </c>
      <c r="H489" s="32" t="s">
        <v>1467</v>
      </c>
      <c r="I489" s="34">
        <v>11</v>
      </c>
      <c r="J489" s="32" t="s">
        <v>89</v>
      </c>
      <c r="K489" s="32" t="s">
        <v>28</v>
      </c>
      <c r="L489" s="32" t="s">
        <v>29</v>
      </c>
      <c r="M489" s="32" t="s">
        <v>155</v>
      </c>
      <c r="N489" s="35" t="s">
        <v>1348</v>
      </c>
    </row>
    <row r="490" spans="1:14" ht="15.75" customHeight="1" x14ac:dyDescent="0.25">
      <c r="A490" s="49">
        <v>654.5</v>
      </c>
      <c r="B490" s="32" t="s">
        <v>19</v>
      </c>
      <c r="C490" s="32" t="s">
        <v>20</v>
      </c>
      <c r="D490" s="32" t="s">
        <v>86</v>
      </c>
      <c r="E490" s="32" t="s">
        <v>22</v>
      </c>
      <c r="F490" s="46" t="s">
        <v>186</v>
      </c>
      <c r="G490" s="32" t="s">
        <v>416</v>
      </c>
      <c r="H490" s="32" t="s">
        <v>1431</v>
      </c>
      <c r="I490" s="34">
        <v>11</v>
      </c>
      <c r="J490" s="32" t="s">
        <v>89</v>
      </c>
      <c r="K490" s="32" t="s">
        <v>28</v>
      </c>
      <c r="L490" s="32" t="s">
        <v>29</v>
      </c>
      <c r="M490" s="32" t="s">
        <v>190</v>
      </c>
      <c r="N490" s="32" t="s">
        <v>1349</v>
      </c>
    </row>
    <row r="491" spans="1:14" ht="15.75" customHeight="1" x14ac:dyDescent="0.25">
      <c r="A491" s="49">
        <v>5401.5</v>
      </c>
      <c r="B491" s="32" t="s">
        <v>19</v>
      </c>
      <c r="C491" s="32" t="s">
        <v>20</v>
      </c>
      <c r="D491" s="32" t="s">
        <v>21</v>
      </c>
      <c r="E491" s="32" t="s">
        <v>22</v>
      </c>
      <c r="F491" s="46" t="s">
        <v>68</v>
      </c>
      <c r="G491" s="32" t="s">
        <v>69</v>
      </c>
      <c r="H491" s="32" t="s">
        <v>1371</v>
      </c>
      <c r="I491" s="34">
        <v>11</v>
      </c>
      <c r="J491" s="32" t="s">
        <v>27</v>
      </c>
      <c r="K491" s="32" t="s">
        <v>28</v>
      </c>
      <c r="L491" s="32" t="s">
        <v>29</v>
      </c>
      <c r="M491" s="32" t="s">
        <v>71</v>
      </c>
      <c r="N491" s="32" t="s">
        <v>1351</v>
      </c>
    </row>
    <row r="492" spans="1:14" ht="15.75" customHeight="1" x14ac:dyDescent="0.25">
      <c r="A492" s="49">
        <v>4778.5</v>
      </c>
      <c r="B492" s="32" t="s">
        <v>19</v>
      </c>
      <c r="C492" s="32" t="s">
        <v>20</v>
      </c>
      <c r="D492" s="32" t="s">
        <v>21</v>
      </c>
      <c r="E492" s="32" t="s">
        <v>22</v>
      </c>
      <c r="F492" s="46" t="s">
        <v>61</v>
      </c>
      <c r="G492" s="32" t="s">
        <v>513</v>
      </c>
      <c r="H492" s="32" t="s">
        <v>1448</v>
      </c>
      <c r="I492" s="34">
        <v>11</v>
      </c>
      <c r="J492" s="32" t="s">
        <v>27</v>
      </c>
      <c r="K492" s="32" t="s">
        <v>28</v>
      </c>
      <c r="L492" s="32" t="s">
        <v>29</v>
      </c>
      <c r="M492" s="32" t="s">
        <v>65</v>
      </c>
      <c r="N492" s="32" t="s">
        <v>1352</v>
      </c>
    </row>
    <row r="493" spans="1:14" ht="15.75" customHeight="1" x14ac:dyDescent="0.25">
      <c r="A493" s="49">
        <v>4541.5</v>
      </c>
      <c r="B493" s="32" t="s">
        <v>19</v>
      </c>
      <c r="C493" s="32" t="s">
        <v>20</v>
      </c>
      <c r="D493" s="32" t="s">
        <v>21</v>
      </c>
      <c r="E493" s="32" t="s">
        <v>22</v>
      </c>
      <c r="F493" s="46" t="s">
        <v>75</v>
      </c>
      <c r="G493" s="32" t="s">
        <v>340</v>
      </c>
      <c r="H493" s="32" t="s">
        <v>1417</v>
      </c>
      <c r="I493" s="34">
        <v>11</v>
      </c>
      <c r="J493" s="32" t="s">
        <v>27</v>
      </c>
      <c r="K493" s="32" t="s">
        <v>28</v>
      </c>
      <c r="L493" s="32" t="s">
        <v>29</v>
      </c>
      <c r="M493" s="32" t="s">
        <v>78</v>
      </c>
      <c r="N493" s="32" t="s">
        <v>1353</v>
      </c>
    </row>
    <row r="494" spans="1:14" ht="15.75" customHeight="1" x14ac:dyDescent="0.25">
      <c r="A494" s="49">
        <v>3875</v>
      </c>
      <c r="B494" s="32" t="s">
        <v>19</v>
      </c>
      <c r="C494" s="32" t="s">
        <v>20</v>
      </c>
      <c r="D494" s="32" t="s">
        <v>21</v>
      </c>
      <c r="E494" s="32" t="s">
        <v>22</v>
      </c>
      <c r="F494" s="46" t="s">
        <v>682</v>
      </c>
      <c r="G494" s="32" t="s">
        <v>1276</v>
      </c>
      <c r="H494" s="32" t="s">
        <v>1556</v>
      </c>
      <c r="I494" s="34">
        <v>11</v>
      </c>
      <c r="J494" s="32" t="s">
        <v>27</v>
      </c>
      <c r="K494" s="32" t="s">
        <v>28</v>
      </c>
      <c r="L494" s="32" t="s">
        <v>29</v>
      </c>
      <c r="M494" s="32" t="s">
        <v>685</v>
      </c>
      <c r="N494" s="32" t="s">
        <v>1354</v>
      </c>
    </row>
    <row r="495" spans="1:14" ht="15.75" customHeight="1" x14ac:dyDescent="0.25">
      <c r="A495" s="49">
        <v>2872.5</v>
      </c>
      <c r="B495" s="32" t="s">
        <v>19</v>
      </c>
      <c r="C495" s="32" t="s">
        <v>20</v>
      </c>
      <c r="D495" s="32" t="s">
        <v>21</v>
      </c>
      <c r="E495" s="32" t="s">
        <v>22</v>
      </c>
      <c r="F495" s="46" t="s">
        <v>104</v>
      </c>
      <c r="G495" s="32" t="s">
        <v>105</v>
      </c>
      <c r="H495" s="32" t="s">
        <v>1377</v>
      </c>
      <c r="I495" s="34">
        <v>11</v>
      </c>
      <c r="J495" s="32" t="s">
        <v>27</v>
      </c>
      <c r="K495" s="32" t="s">
        <v>28</v>
      </c>
      <c r="L495" s="32" t="s">
        <v>29</v>
      </c>
      <c r="M495" s="32" t="s">
        <v>107</v>
      </c>
      <c r="N495" s="32" t="s">
        <v>1355</v>
      </c>
    </row>
    <row r="496" spans="1:14" ht="15.75" customHeight="1" x14ac:dyDescent="0.25">
      <c r="A496" s="49">
        <v>3398</v>
      </c>
      <c r="B496" s="32" t="s">
        <v>19</v>
      </c>
      <c r="C496" s="32" t="s">
        <v>20</v>
      </c>
      <c r="D496" s="32" t="s">
        <v>21</v>
      </c>
      <c r="E496" s="32" t="s">
        <v>22</v>
      </c>
      <c r="F496" s="46" t="s">
        <v>217</v>
      </c>
      <c r="G496" s="32" t="s">
        <v>218</v>
      </c>
      <c r="H496" s="32" t="s">
        <v>1396</v>
      </c>
      <c r="I496" s="34">
        <v>11</v>
      </c>
      <c r="J496" s="32" t="s">
        <v>27</v>
      </c>
      <c r="K496" s="32" t="s">
        <v>28</v>
      </c>
      <c r="L496" s="32" t="s">
        <v>29</v>
      </c>
      <c r="M496" s="32" t="s">
        <v>220</v>
      </c>
      <c r="N496" s="32" t="s">
        <v>1356</v>
      </c>
    </row>
    <row r="497" spans="1:14" ht="15.75" customHeight="1" x14ac:dyDescent="0.25">
      <c r="A497" s="49">
        <v>3467</v>
      </c>
      <c r="B497" s="32" t="s">
        <v>19</v>
      </c>
      <c r="C497" s="32" t="s">
        <v>20</v>
      </c>
      <c r="D497" s="32" t="s">
        <v>86</v>
      </c>
      <c r="E497" s="32" t="s">
        <v>22</v>
      </c>
      <c r="F497" s="46" t="s">
        <v>223</v>
      </c>
      <c r="G497" s="32" t="s">
        <v>1170</v>
      </c>
      <c r="H497" s="32" t="s">
        <v>1547</v>
      </c>
      <c r="I497" s="34">
        <v>12</v>
      </c>
      <c r="J497" s="32" t="s">
        <v>89</v>
      </c>
      <c r="K497" s="32" t="s">
        <v>28</v>
      </c>
      <c r="L497" s="32" t="s">
        <v>29</v>
      </c>
      <c r="M497" s="32" t="s">
        <v>226</v>
      </c>
      <c r="N497" s="32" t="s">
        <v>1357</v>
      </c>
    </row>
    <row r="498" spans="1:14" ht="15.75" customHeight="1" x14ac:dyDescent="0.25">
      <c r="A498" s="49">
        <v>4229.5</v>
      </c>
      <c r="B498" s="32" t="s">
        <v>19</v>
      </c>
      <c r="C498" s="32" t="s">
        <v>20</v>
      </c>
      <c r="D498" s="32" t="s">
        <v>86</v>
      </c>
      <c r="E498" s="32" t="s">
        <v>22</v>
      </c>
      <c r="F498" s="46" t="s">
        <v>223</v>
      </c>
      <c r="G498" s="32" t="s">
        <v>258</v>
      </c>
      <c r="H498" s="32" t="s">
        <v>1403</v>
      </c>
      <c r="I498" s="34">
        <v>12</v>
      </c>
      <c r="J498" s="32" t="s">
        <v>89</v>
      </c>
      <c r="K498" s="32" t="s">
        <v>28</v>
      </c>
      <c r="L498" s="32" t="s">
        <v>29</v>
      </c>
      <c r="M498" s="32" t="s">
        <v>226</v>
      </c>
      <c r="N498" s="32" t="s">
        <v>1358</v>
      </c>
    </row>
    <row r="499" spans="1:14" ht="15.75" customHeight="1" x14ac:dyDescent="0.25">
      <c r="A499" s="49">
        <v>3945</v>
      </c>
      <c r="B499" s="32" t="s">
        <v>19</v>
      </c>
      <c r="C499" s="32" t="s">
        <v>20</v>
      </c>
      <c r="D499" s="32" t="s">
        <v>86</v>
      </c>
      <c r="E499" s="32" t="s">
        <v>22</v>
      </c>
      <c r="F499" s="46" t="s">
        <v>92</v>
      </c>
      <c r="G499" s="32" t="s">
        <v>93</v>
      </c>
      <c r="H499" s="32" t="s">
        <v>1375</v>
      </c>
      <c r="I499" s="34">
        <v>12</v>
      </c>
      <c r="J499" s="32" t="s">
        <v>89</v>
      </c>
      <c r="K499" s="32" t="s">
        <v>28</v>
      </c>
      <c r="L499" s="32" t="s">
        <v>29</v>
      </c>
      <c r="M499" s="32" t="s">
        <v>95</v>
      </c>
      <c r="N499" s="32" t="s">
        <v>1359</v>
      </c>
    </row>
    <row r="500" spans="1:14" ht="15.75" customHeight="1" x14ac:dyDescent="0.25">
      <c r="A500" s="49">
        <v>2140.36</v>
      </c>
      <c r="B500" s="32" t="s">
        <v>19</v>
      </c>
      <c r="C500" s="32" t="s">
        <v>20</v>
      </c>
      <c r="D500" s="32" t="s">
        <v>21</v>
      </c>
      <c r="E500" s="32" t="s">
        <v>22</v>
      </c>
      <c r="F500" s="46" t="s">
        <v>75</v>
      </c>
      <c r="G500" s="32" t="s">
        <v>1361</v>
      </c>
      <c r="H500" s="32" t="s">
        <v>1561</v>
      </c>
      <c r="I500" s="34">
        <v>12</v>
      </c>
      <c r="J500" s="32" t="s">
        <v>27</v>
      </c>
      <c r="K500" s="32" t="s">
        <v>28</v>
      </c>
      <c r="L500" s="32" t="s">
        <v>29</v>
      </c>
      <c r="M500" s="32" t="s">
        <v>78</v>
      </c>
      <c r="N500" s="32" t="s">
        <v>1363</v>
      </c>
    </row>
    <row r="501" spans="1:14" ht="15.75" customHeight="1" x14ac:dyDescent="0.25"/>
    <row r="502" spans="1:14" ht="15.75" customHeight="1" x14ac:dyDescent="0.25"/>
    <row r="503" spans="1:14" ht="15.75" customHeight="1" x14ac:dyDescent="0.25"/>
    <row r="504" spans="1:14" ht="15.75" customHeight="1" x14ac:dyDescent="0.25"/>
    <row r="505" spans="1:14" ht="15.75" customHeight="1" x14ac:dyDescent="0.25"/>
    <row r="506" spans="1:14" ht="15.75" customHeight="1" x14ac:dyDescent="0.25"/>
    <row r="507" spans="1:14" ht="15.75" customHeight="1" x14ac:dyDescent="0.25"/>
    <row r="508" spans="1:14" ht="15.75" customHeight="1" x14ac:dyDescent="0.25"/>
    <row r="509" spans="1:14" ht="15.75" customHeight="1" x14ac:dyDescent="0.25"/>
    <row r="510" spans="1:14" ht="15.75" customHeight="1" x14ac:dyDescent="0.25"/>
    <row r="511" spans="1:14" ht="15.75" customHeight="1" x14ac:dyDescent="0.25"/>
    <row r="512" spans="1:1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spans="7:14" ht="15.75" customHeight="1" x14ac:dyDescent="0.25"/>
    <row r="530" spans="7:14" ht="15.75" customHeight="1" x14ac:dyDescent="0.25"/>
    <row r="531" spans="7:14" ht="15.75" customHeight="1" x14ac:dyDescent="0.25"/>
    <row r="532" spans="7:14" ht="15.75" customHeight="1" x14ac:dyDescent="0.25"/>
    <row r="533" spans="7:14" ht="15.75" customHeight="1" x14ac:dyDescent="0.25"/>
    <row r="534" spans="7:14" ht="15.75" customHeight="1" x14ac:dyDescent="0.25"/>
    <row r="535" spans="7:14" ht="15.75" customHeight="1" x14ac:dyDescent="0.25"/>
    <row r="536" spans="7:14" ht="15.75" customHeight="1" x14ac:dyDescent="0.25"/>
    <row r="537" spans="7:14" ht="15.75" customHeight="1" x14ac:dyDescent="0.25"/>
    <row r="538" spans="7:14" ht="15.75" customHeight="1" x14ac:dyDescent="0.25"/>
    <row r="539" spans="7:14" ht="15.75" customHeight="1" x14ac:dyDescent="0.25"/>
    <row r="540" spans="7:14" ht="15.75" customHeight="1" x14ac:dyDescent="0.25"/>
    <row r="541" spans="7:14" ht="15.75" customHeight="1" x14ac:dyDescent="0.25"/>
    <row r="542" spans="7:14" ht="15.75" customHeight="1" x14ac:dyDescent="0.25"/>
    <row r="543" spans="7:14" ht="15.75" customHeight="1" x14ac:dyDescent="0.25"/>
    <row r="544" spans="7:14" ht="15.75" customHeight="1" x14ac:dyDescent="0.25">
      <c r="G544" s="6"/>
      <c r="N544" s="6"/>
    </row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spans="7:14" ht="15.75" customHeight="1" x14ac:dyDescent="0.25"/>
    <row r="578" spans="7:14" ht="15.75" customHeight="1" x14ac:dyDescent="0.25">
      <c r="G578" s="6"/>
      <c r="N578" s="6"/>
    </row>
    <row r="579" spans="7:14" ht="15.75" customHeight="1" x14ac:dyDescent="0.25"/>
    <row r="580" spans="7:14" ht="15.75" customHeight="1" x14ac:dyDescent="0.25"/>
    <row r="581" spans="7:14" ht="15.75" customHeight="1" x14ac:dyDescent="0.25"/>
    <row r="582" spans="7:14" ht="15.75" customHeight="1" x14ac:dyDescent="0.25"/>
    <row r="583" spans="7:14" ht="15.75" customHeight="1" x14ac:dyDescent="0.25"/>
    <row r="584" spans="7:14" ht="15.75" customHeight="1" x14ac:dyDescent="0.25"/>
    <row r="585" spans="7:14" ht="15.75" customHeight="1" x14ac:dyDescent="0.25"/>
    <row r="586" spans="7:14" ht="15.75" customHeight="1" x14ac:dyDescent="0.25"/>
    <row r="587" spans="7:14" ht="15.75" customHeight="1" x14ac:dyDescent="0.25"/>
    <row r="588" spans="7:14" ht="15.75" customHeight="1" x14ac:dyDescent="0.25"/>
    <row r="589" spans="7:14" ht="15.75" customHeight="1" x14ac:dyDescent="0.25"/>
    <row r="590" spans="7:14" ht="15.75" customHeight="1" x14ac:dyDescent="0.25"/>
    <row r="591" spans="7:14" ht="15.75" customHeight="1" x14ac:dyDescent="0.25"/>
    <row r="592" spans="7:14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spans="7:14" ht="15.75" customHeight="1" x14ac:dyDescent="0.25"/>
    <row r="626" spans="7:14" ht="15.75" customHeight="1" x14ac:dyDescent="0.25"/>
    <row r="627" spans="7:14" ht="15.75" customHeight="1" x14ac:dyDescent="0.25"/>
    <row r="628" spans="7:14" ht="15.75" customHeight="1" x14ac:dyDescent="0.25"/>
    <row r="629" spans="7:14" ht="15.75" customHeight="1" x14ac:dyDescent="0.25"/>
    <row r="630" spans="7:14" ht="15.75" customHeight="1" x14ac:dyDescent="0.25"/>
    <row r="631" spans="7:14" ht="15.75" customHeight="1" x14ac:dyDescent="0.25"/>
    <row r="632" spans="7:14" ht="15.75" customHeight="1" x14ac:dyDescent="0.25"/>
    <row r="633" spans="7:14" ht="15.75" customHeight="1" x14ac:dyDescent="0.25"/>
    <row r="634" spans="7:14" ht="15.75" customHeight="1" x14ac:dyDescent="0.25"/>
    <row r="635" spans="7:14" ht="15.75" customHeight="1" x14ac:dyDescent="0.25"/>
    <row r="636" spans="7:14" ht="15.75" customHeight="1" x14ac:dyDescent="0.25"/>
    <row r="637" spans="7:14" ht="15.75" customHeight="1" x14ac:dyDescent="0.25"/>
    <row r="638" spans="7:14" ht="15.75" customHeight="1" x14ac:dyDescent="0.25">
      <c r="G638" s="6"/>
      <c r="N638" s="6"/>
    </row>
    <row r="639" spans="7:14" ht="15.75" customHeight="1" x14ac:dyDescent="0.25"/>
    <row r="640" spans="7:14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spans="7:14" ht="15.75" customHeight="1" x14ac:dyDescent="0.25"/>
    <row r="674" spans="7:14" ht="15.75" customHeight="1" x14ac:dyDescent="0.25"/>
    <row r="675" spans="7:14" ht="15.75" customHeight="1" x14ac:dyDescent="0.25"/>
    <row r="676" spans="7:14" ht="15.75" customHeight="1" x14ac:dyDescent="0.25"/>
    <row r="677" spans="7:14" ht="15.75" customHeight="1" x14ac:dyDescent="0.25"/>
    <row r="678" spans="7:14" ht="15.75" customHeight="1" x14ac:dyDescent="0.25"/>
    <row r="679" spans="7:14" ht="15.75" customHeight="1" x14ac:dyDescent="0.25"/>
    <row r="680" spans="7:14" ht="15.75" customHeight="1" x14ac:dyDescent="0.25"/>
    <row r="681" spans="7:14" ht="15.75" customHeight="1" x14ac:dyDescent="0.25"/>
    <row r="682" spans="7:14" ht="15.75" customHeight="1" x14ac:dyDescent="0.25"/>
    <row r="683" spans="7:14" ht="15.75" customHeight="1" x14ac:dyDescent="0.25"/>
    <row r="684" spans="7:14" ht="15.75" customHeight="1" x14ac:dyDescent="0.25"/>
    <row r="685" spans="7:14" ht="15.75" customHeight="1" x14ac:dyDescent="0.25"/>
    <row r="686" spans="7:14" ht="15.75" customHeight="1" x14ac:dyDescent="0.25"/>
    <row r="687" spans="7:14" ht="15.75" customHeight="1" x14ac:dyDescent="0.25"/>
    <row r="688" spans="7:14" ht="15.75" customHeight="1" x14ac:dyDescent="0.25">
      <c r="G688" s="6"/>
      <c r="N688" s="6"/>
    </row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N1:N1048576">
    <cfRule type="duplicateValues" dxfId="14" priority="1"/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D30F-DF27-4B93-9589-F57F53A65199}">
  <dimension ref="A1:Z688"/>
  <sheetViews>
    <sheetView workbookViewId="0"/>
  </sheetViews>
  <sheetFormatPr defaultRowHeight="15" x14ac:dyDescent="0.25"/>
  <cols>
    <col min="1" max="1" width="25.140625" style="5" customWidth="1"/>
    <col min="2" max="2" width="28.42578125" style="4" bestFit="1" customWidth="1"/>
    <col min="3" max="3" width="32.85546875" style="63" bestFit="1" customWidth="1"/>
    <col min="4" max="4" width="27.5703125" style="4" bestFit="1" customWidth="1"/>
    <col min="7" max="7" width="18.140625" bestFit="1" customWidth="1"/>
    <col min="8" max="8" width="17.85546875" bestFit="1" customWidth="1"/>
    <col min="9" max="9" width="17.28515625" bestFit="1" customWidth="1"/>
    <col min="10" max="10" width="20.85546875" bestFit="1" customWidth="1"/>
    <col min="11" max="11" width="13.85546875" bestFit="1" customWidth="1"/>
    <col min="12" max="12" width="17.42578125" bestFit="1" customWidth="1"/>
    <col min="13" max="13" width="15.7109375" bestFit="1" customWidth="1"/>
    <col min="14" max="14" width="18.28515625" bestFit="1" customWidth="1"/>
    <col min="15" max="15" width="22.85546875" bestFit="1" customWidth="1"/>
    <col min="16" max="16" width="17.28515625" bestFit="1" customWidth="1"/>
    <col min="17" max="17" width="17.5703125" bestFit="1" customWidth="1"/>
    <col min="18" max="18" width="15.5703125" bestFit="1" customWidth="1"/>
    <col min="19" max="19" width="13.85546875" bestFit="1" customWidth="1"/>
    <col min="20" max="20" width="18.28515625" bestFit="1" customWidth="1"/>
    <col min="21" max="21" width="21.5703125" bestFit="1" customWidth="1"/>
    <col min="22" max="22" width="16" bestFit="1" customWidth="1"/>
    <col min="23" max="23" width="21" bestFit="1" customWidth="1"/>
    <col min="24" max="24" width="19.42578125" bestFit="1" customWidth="1"/>
    <col min="25" max="25" width="16.28515625" bestFit="1" customWidth="1"/>
    <col min="26" max="26" width="18.28515625" bestFit="1" customWidth="1"/>
  </cols>
  <sheetData>
    <row r="1" spans="1:26" ht="17.25" thickBot="1" x14ac:dyDescent="0.35">
      <c r="A1" s="53" t="s">
        <v>1579</v>
      </c>
      <c r="B1" s="53" t="s">
        <v>1574</v>
      </c>
      <c r="C1" s="59" t="s">
        <v>1575</v>
      </c>
      <c r="D1" s="53" t="s">
        <v>1576</v>
      </c>
      <c r="G1" s="66" t="s">
        <v>1580</v>
      </c>
      <c r="H1" s="64" t="s">
        <v>1364</v>
      </c>
      <c r="I1" s="33" t="s">
        <v>1365</v>
      </c>
      <c r="J1" s="33" t="s">
        <v>1366</v>
      </c>
      <c r="K1" s="33" t="s">
        <v>1367</v>
      </c>
      <c r="L1" s="33" t="s">
        <v>1368</v>
      </c>
      <c r="M1" s="33" t="s">
        <v>1369</v>
      </c>
      <c r="N1" s="33" t="s">
        <v>1370</v>
      </c>
      <c r="O1" s="33" t="s">
        <v>1371</v>
      </c>
      <c r="P1" s="33" t="s">
        <v>1365</v>
      </c>
      <c r="Q1" s="33" t="s">
        <v>1372</v>
      </c>
      <c r="R1" s="33" t="s">
        <v>1373</v>
      </c>
      <c r="S1" s="33" t="s">
        <v>1367</v>
      </c>
      <c r="T1" s="33" t="s">
        <v>1374</v>
      </c>
      <c r="U1" s="33" t="s">
        <v>1375</v>
      </c>
      <c r="V1" s="33" t="s">
        <v>1376</v>
      </c>
      <c r="W1" s="33" t="s">
        <v>1377</v>
      </c>
      <c r="X1" s="33" t="s">
        <v>1378</v>
      </c>
      <c r="Y1" s="33" t="s">
        <v>1379</v>
      </c>
      <c r="Z1" s="33" t="s">
        <v>1374</v>
      </c>
    </row>
    <row r="2" spans="1:26" ht="16.5" thickBot="1" x14ac:dyDescent="0.35">
      <c r="A2" s="52" t="s">
        <v>24</v>
      </c>
      <c r="B2" s="54" t="str">
        <f>VLOOKUP(A2,'US Employee Payroll Cleaned'!G:N,2,FALSE)</f>
        <v xml:space="preserve"> TACCAD, CLARIBEL</v>
      </c>
      <c r="C2" s="60">
        <f>INDEX('US Employee Payroll Cleaned'!A:A,MATCH('Lookup Sheet'!A2,'US Employee Payroll Cleaned'!G:G,0))</f>
        <v>3556</v>
      </c>
      <c r="D2" s="55" t="str">
        <f>_xlfn.XLOOKUP(A2,'US Employee Payroll Cleaned'!G:G,'US Employee Payroll Cleaned'!H:H,"Not found")</f>
        <v xml:space="preserve"> TACCAD, CLARIBEL</v>
      </c>
      <c r="G2" s="66" t="s">
        <v>1581</v>
      </c>
      <c r="H2" s="65">
        <v>3556</v>
      </c>
      <c r="I2" s="49">
        <v>3902.5</v>
      </c>
      <c r="J2" s="49">
        <v>3160.5</v>
      </c>
      <c r="K2" s="49">
        <v>3711.5</v>
      </c>
      <c r="L2" s="49">
        <v>3340.5</v>
      </c>
      <c r="M2" s="49">
        <v>4274</v>
      </c>
      <c r="N2" s="49">
        <v>-194.51</v>
      </c>
      <c r="O2" s="49">
        <v>5212</v>
      </c>
      <c r="P2" s="49">
        <v>3902.5</v>
      </c>
      <c r="Q2" s="49">
        <v>2542.5</v>
      </c>
      <c r="R2" s="49">
        <v>3240.5</v>
      </c>
      <c r="S2" s="49">
        <v>3711.5</v>
      </c>
      <c r="T2" s="49">
        <v>4534</v>
      </c>
      <c r="U2" s="49">
        <v>3607.5</v>
      </c>
      <c r="V2" s="49">
        <v>4766</v>
      </c>
      <c r="W2" s="49">
        <v>2708</v>
      </c>
      <c r="X2" s="49">
        <v>4536</v>
      </c>
      <c r="Y2" s="49">
        <v>4271.5</v>
      </c>
      <c r="Z2" s="49">
        <v>4534</v>
      </c>
    </row>
    <row r="3" spans="1:26" ht="16.5" thickBot="1" x14ac:dyDescent="0.35">
      <c r="A3" s="21" t="s">
        <v>34</v>
      </c>
      <c r="B3" s="12" t="str">
        <f>VLOOKUP(A3,'US Employee Payroll Cleaned'!G:N,2,FALSE)</f>
        <v xml:space="preserve"> GRAYER, SHELIA D</v>
      </c>
      <c r="C3" s="61">
        <f>INDEX('US Employee Payroll Cleaned'!A:A,MATCH('Lookup Sheet'!A3,'US Employee Payroll Cleaned'!G:G,0))</f>
        <v>3902.5</v>
      </c>
      <c r="D3" s="56" t="str">
        <f>_xlfn.XLOOKUP(A3,'US Employee Payroll Cleaned'!G:G,'US Employee Payroll Cleaned'!H:H,"Not found")</f>
        <v xml:space="preserve"> GRAYER, SHELIA D</v>
      </c>
      <c r="G3" s="66" t="s">
        <v>1577</v>
      </c>
      <c r="H3" s="45" t="s">
        <v>24</v>
      </c>
      <c r="I3" s="32" t="s">
        <v>34</v>
      </c>
      <c r="J3" s="32" t="s">
        <v>40</v>
      </c>
      <c r="K3" s="32" t="s">
        <v>45</v>
      </c>
      <c r="L3" s="32" t="s">
        <v>50</v>
      </c>
      <c r="M3" s="32" t="s">
        <v>56</v>
      </c>
      <c r="N3" s="32" t="s">
        <v>62</v>
      </c>
      <c r="O3" s="32" t="s">
        <v>69</v>
      </c>
      <c r="P3" s="32" t="s">
        <v>34</v>
      </c>
      <c r="Q3" s="32" t="s">
        <v>76</v>
      </c>
      <c r="R3" s="32" t="s">
        <v>81</v>
      </c>
      <c r="S3" s="32" t="s">
        <v>45</v>
      </c>
      <c r="T3" s="32" t="s">
        <v>87</v>
      </c>
      <c r="U3" s="32" t="s">
        <v>93</v>
      </c>
      <c r="V3" s="32" t="s">
        <v>99</v>
      </c>
      <c r="W3" s="32" t="s">
        <v>105</v>
      </c>
      <c r="X3" s="35" t="s">
        <v>111</v>
      </c>
      <c r="Y3" s="32" t="s">
        <v>117</v>
      </c>
      <c r="Z3" s="32" t="s">
        <v>87</v>
      </c>
    </row>
    <row r="4" spans="1:26" ht="16.5" thickBot="1" x14ac:dyDescent="0.35">
      <c r="A4" s="21" t="s">
        <v>40</v>
      </c>
      <c r="B4" s="12" t="str">
        <f>VLOOKUP(A4,'US Employee Payroll Cleaned'!G:N,2,FALSE)</f>
        <v xml:space="preserve"> CORPUZ, BENJAMIN A</v>
      </c>
      <c r="C4" s="61">
        <f>INDEX('US Employee Payroll Cleaned'!A:A,MATCH('Lookup Sheet'!A4,'US Employee Payroll Cleaned'!G:G,0))</f>
        <v>3160.5</v>
      </c>
      <c r="D4" s="56" t="str">
        <f>_xlfn.XLOOKUP(A4,'US Employee Payroll Cleaned'!G:G,'US Employee Payroll Cleaned'!H:H,"Not found")</f>
        <v xml:space="preserve"> CORPUZ, BENJAMIN A</v>
      </c>
      <c r="G4" s="67" t="s">
        <v>1578</v>
      </c>
      <c r="H4" s="42" t="str">
        <f>HLOOKUP(H1,H1:Z3,3,FALSE)</f>
        <v>C1081EDB5EEAE1</v>
      </c>
      <c r="I4" s="42" t="str">
        <f t="shared" ref="I4:Z4" si="0">HLOOKUP(I1,I1:AA3,3,FALSE)</f>
        <v>90D4F9839B1EE3</v>
      </c>
      <c r="J4" s="42" t="str">
        <f t="shared" si="0"/>
        <v>4146A18BC5805C</v>
      </c>
      <c r="K4" s="42" t="str">
        <f t="shared" si="0"/>
        <v>73BA524443E82D</v>
      </c>
      <c r="L4" s="42" t="str">
        <f t="shared" si="0"/>
        <v>FABEBFAD17362B</v>
      </c>
      <c r="M4" s="42" t="str">
        <f t="shared" si="0"/>
        <v>9B82270E9FBFC9</v>
      </c>
      <c r="N4" s="42" t="str">
        <f t="shared" si="0"/>
        <v>0A30E99A8A025B</v>
      </c>
      <c r="O4" s="42" t="str">
        <f t="shared" si="0"/>
        <v>B8E59990646B62</v>
      </c>
      <c r="P4" s="42" t="str">
        <f t="shared" si="0"/>
        <v>90D4F9839B1EE3</v>
      </c>
      <c r="Q4" s="42" t="str">
        <f t="shared" si="0"/>
        <v>D6F0FB9FC44E17</v>
      </c>
      <c r="R4" s="42" t="str">
        <f t="shared" si="0"/>
        <v>92E1F59DF1DF8D</v>
      </c>
      <c r="S4" s="42" t="str">
        <f t="shared" si="0"/>
        <v>73BA524443E82D</v>
      </c>
      <c r="T4" s="42" t="str">
        <f t="shared" si="0"/>
        <v>B1DCE5C3C3A044</v>
      </c>
      <c r="U4" s="42" t="str">
        <f t="shared" si="0"/>
        <v>1AFFC8FE80ACB6</v>
      </c>
      <c r="V4" s="42" t="str">
        <f t="shared" si="0"/>
        <v>C28E727C8EB8AF</v>
      </c>
      <c r="W4" s="42" t="str">
        <f t="shared" si="0"/>
        <v>C57C9A2F1A1F8D</v>
      </c>
      <c r="X4" s="42" t="str">
        <f t="shared" si="0"/>
        <v>197E06974C23C4</v>
      </c>
      <c r="Y4" s="42" t="str">
        <f t="shared" si="0"/>
        <v>6AE3E9CF0CE168</v>
      </c>
      <c r="Z4" s="42" t="str">
        <f t="shared" si="0"/>
        <v>B1DCE5C3C3A044</v>
      </c>
    </row>
    <row r="5" spans="1:26" x14ac:dyDescent="0.25">
      <c r="A5" s="21" t="s">
        <v>45</v>
      </c>
      <c r="B5" s="12" t="str">
        <f>VLOOKUP(A5,'US Employee Payroll Cleaned'!G:N,2,FALSE)</f>
        <v xml:space="preserve"> THRUN, EMILY</v>
      </c>
      <c r="C5" s="61">
        <f>INDEX('US Employee Payroll Cleaned'!A:A,MATCH('Lookup Sheet'!A5,'US Employee Payroll Cleaned'!G:G,0))</f>
        <v>3711.5</v>
      </c>
      <c r="D5" s="56" t="str">
        <f>_xlfn.XLOOKUP(A5,'US Employee Payroll Cleaned'!G:G,'US Employee Payroll Cleaned'!H:H,"Not found")</f>
        <v xml:space="preserve"> THRUN, EMILY</v>
      </c>
    </row>
    <row r="6" spans="1:26" x14ac:dyDescent="0.25">
      <c r="A6" s="21" t="s">
        <v>50</v>
      </c>
      <c r="B6" s="12" t="str">
        <f>VLOOKUP(A6,'US Employee Payroll Cleaned'!G:N,2,FALSE)</f>
        <v xml:space="preserve"> BARTON, EMILY M</v>
      </c>
      <c r="C6" s="61">
        <f>INDEX('US Employee Payroll Cleaned'!A:A,MATCH('Lookup Sheet'!A6,'US Employee Payroll Cleaned'!G:G,0))</f>
        <v>3340.5</v>
      </c>
      <c r="D6" s="56" t="str">
        <f>_xlfn.XLOOKUP(A6,'US Employee Payroll Cleaned'!G:G,'US Employee Payroll Cleaned'!H:H,"Not found")</f>
        <v xml:space="preserve"> BARTON, EMILY M</v>
      </c>
    </row>
    <row r="7" spans="1:26" x14ac:dyDescent="0.25">
      <c r="A7" s="21" t="s">
        <v>56</v>
      </c>
      <c r="B7" s="12" t="str">
        <f>VLOOKUP(A7,'US Employee Payroll Cleaned'!G:N,2,FALSE)</f>
        <v xml:space="preserve"> DAYE, RONALD J</v>
      </c>
      <c r="C7" s="61">
        <f>INDEX('US Employee Payroll Cleaned'!A:A,MATCH('Lookup Sheet'!A7,'US Employee Payroll Cleaned'!G:G,0))</f>
        <v>4274</v>
      </c>
      <c r="D7" s="56" t="str">
        <f>_xlfn.XLOOKUP(A7,'US Employee Payroll Cleaned'!G:G,'US Employee Payroll Cleaned'!H:H,"Not found")</f>
        <v xml:space="preserve"> DAYE, RONALD J</v>
      </c>
    </row>
    <row r="8" spans="1:26" x14ac:dyDescent="0.25">
      <c r="A8" s="21" t="s">
        <v>62</v>
      </c>
      <c r="B8" s="12" t="str">
        <f>VLOOKUP(A8,'US Employee Payroll Cleaned'!G:N,2,FALSE)</f>
        <v xml:space="preserve"> ALBERT, DAMIAN K</v>
      </c>
      <c r="C8" s="61">
        <f>INDEX('US Employee Payroll Cleaned'!A:A,MATCH('Lookup Sheet'!A8,'US Employee Payroll Cleaned'!G:G,0))</f>
        <v>-194.51</v>
      </c>
      <c r="D8" s="56" t="str">
        <f>_xlfn.XLOOKUP(A8,'US Employee Payroll Cleaned'!G:G,'US Employee Payroll Cleaned'!H:H,"Not found")</f>
        <v xml:space="preserve"> ALBERT, DAMIAN K</v>
      </c>
    </row>
    <row r="9" spans="1:26" x14ac:dyDescent="0.25">
      <c r="A9" s="21" t="s">
        <v>69</v>
      </c>
      <c r="B9" s="12" t="str">
        <f>VLOOKUP(A9,'US Employee Payroll Cleaned'!G:N,2,FALSE)</f>
        <v xml:space="preserve"> BUDNIK, ALESSANDRA C</v>
      </c>
      <c r="C9" s="61">
        <f>INDEX('US Employee Payroll Cleaned'!A:A,MATCH('Lookup Sheet'!A9,'US Employee Payroll Cleaned'!G:G,0))</f>
        <v>5212</v>
      </c>
      <c r="D9" s="56" t="str">
        <f>_xlfn.XLOOKUP(A9,'US Employee Payroll Cleaned'!G:G,'US Employee Payroll Cleaned'!H:H,"Not found")</f>
        <v xml:space="preserve"> BUDNIK, ALESSANDRA C</v>
      </c>
    </row>
    <row r="10" spans="1:26" x14ac:dyDescent="0.25">
      <c r="A10" s="21" t="s">
        <v>34</v>
      </c>
      <c r="B10" s="12" t="str">
        <f>VLOOKUP(A10,'US Employee Payroll Cleaned'!G:N,2,FALSE)</f>
        <v xml:space="preserve"> GRAYER, SHELIA D</v>
      </c>
      <c r="C10" s="61">
        <f>INDEX('US Employee Payroll Cleaned'!A:A,MATCH('Lookup Sheet'!A10,'US Employee Payroll Cleaned'!G:G,0))</f>
        <v>3902.5</v>
      </c>
      <c r="D10" s="56" t="str">
        <f>_xlfn.XLOOKUP(A10,'US Employee Payroll Cleaned'!G:G,'US Employee Payroll Cleaned'!H:H,"Not found")</f>
        <v xml:space="preserve"> GRAYER, SHELIA D</v>
      </c>
    </row>
    <row r="11" spans="1:26" x14ac:dyDescent="0.25">
      <c r="A11" s="21" t="s">
        <v>76</v>
      </c>
      <c r="B11" s="12" t="str">
        <f>VLOOKUP(A11,'US Employee Payroll Cleaned'!G:N,2,FALSE)</f>
        <v xml:space="preserve"> NOLTER, ROBERT J</v>
      </c>
      <c r="C11" s="61">
        <f>INDEX('US Employee Payroll Cleaned'!A:A,MATCH('Lookup Sheet'!A11,'US Employee Payroll Cleaned'!G:G,0))</f>
        <v>2542.5</v>
      </c>
      <c r="D11" s="56" t="str">
        <f>_xlfn.XLOOKUP(A11,'US Employee Payroll Cleaned'!G:G,'US Employee Payroll Cleaned'!H:H,"Not found")</f>
        <v xml:space="preserve"> NOLTER, ROBERT J</v>
      </c>
    </row>
    <row r="12" spans="1:26" x14ac:dyDescent="0.25">
      <c r="A12" s="21" t="s">
        <v>81</v>
      </c>
      <c r="B12" s="12" t="str">
        <f>VLOOKUP(A12,'US Employee Payroll Cleaned'!G:N,2,FALSE)</f>
        <v xml:space="preserve"> BERAN, PETER D</v>
      </c>
      <c r="C12" s="61">
        <f>INDEX('US Employee Payroll Cleaned'!A:A,MATCH('Lookup Sheet'!A12,'US Employee Payroll Cleaned'!G:G,0))</f>
        <v>3240.5</v>
      </c>
      <c r="D12" s="56" t="str">
        <f>_xlfn.XLOOKUP(A12,'US Employee Payroll Cleaned'!G:G,'US Employee Payroll Cleaned'!H:H,"Not found")</f>
        <v xml:space="preserve"> BERAN, PETER D</v>
      </c>
    </row>
    <row r="13" spans="1:26" x14ac:dyDescent="0.25">
      <c r="A13" s="21" t="s">
        <v>45</v>
      </c>
      <c r="B13" s="12" t="str">
        <f>VLOOKUP(A13,'US Employee Payroll Cleaned'!G:N,2,FALSE)</f>
        <v xml:space="preserve"> THRUN, EMILY</v>
      </c>
      <c r="C13" s="61">
        <f>INDEX('US Employee Payroll Cleaned'!A:A,MATCH('Lookup Sheet'!A13,'US Employee Payroll Cleaned'!G:G,0))</f>
        <v>3711.5</v>
      </c>
      <c r="D13" s="56" t="str">
        <f>_xlfn.XLOOKUP(A13,'US Employee Payroll Cleaned'!G:G,'US Employee Payroll Cleaned'!H:H,"Not found")</f>
        <v xml:space="preserve"> THRUN, EMILY</v>
      </c>
    </row>
    <row r="14" spans="1:26" x14ac:dyDescent="0.25">
      <c r="A14" s="21" t="s">
        <v>87</v>
      </c>
      <c r="B14" s="12" t="str">
        <f>VLOOKUP(A14,'US Employee Payroll Cleaned'!G:N,2,FALSE)</f>
        <v xml:space="preserve"> WEBER, MICHAEL P</v>
      </c>
      <c r="C14" s="61">
        <f>INDEX('US Employee Payroll Cleaned'!A:A,MATCH('Lookup Sheet'!A14,'US Employee Payroll Cleaned'!G:G,0))</f>
        <v>4534</v>
      </c>
      <c r="D14" s="56" t="str">
        <f>_xlfn.XLOOKUP(A14,'US Employee Payroll Cleaned'!G:G,'US Employee Payroll Cleaned'!H:H,"Not found")</f>
        <v xml:space="preserve"> WEBER, MICHAEL P</v>
      </c>
    </row>
    <row r="15" spans="1:26" x14ac:dyDescent="0.25">
      <c r="A15" s="21" t="s">
        <v>93</v>
      </c>
      <c r="B15" s="12" t="str">
        <f>VLOOKUP(A15,'US Employee Payroll Cleaned'!G:N,2,FALSE)</f>
        <v xml:space="preserve"> NELSON, GABRIELLA M</v>
      </c>
      <c r="C15" s="61">
        <f>INDEX('US Employee Payroll Cleaned'!A:A,MATCH('Lookup Sheet'!A15,'US Employee Payroll Cleaned'!G:G,0))</f>
        <v>3607.5</v>
      </c>
      <c r="D15" s="56" t="str">
        <f>_xlfn.XLOOKUP(A15,'US Employee Payroll Cleaned'!G:G,'US Employee Payroll Cleaned'!H:H,"Not found")</f>
        <v xml:space="preserve"> NELSON, GABRIELLA M</v>
      </c>
    </row>
    <row r="16" spans="1:26" x14ac:dyDescent="0.25">
      <c r="A16" s="21" t="s">
        <v>99</v>
      </c>
      <c r="B16" s="12" t="str">
        <f>VLOOKUP(A16,'US Employee Payroll Cleaned'!G:N,2,FALSE)</f>
        <v xml:space="preserve"> HERTZ, DANIEL K</v>
      </c>
      <c r="C16" s="61">
        <f>INDEX('US Employee Payroll Cleaned'!A:A,MATCH('Lookup Sheet'!A16,'US Employee Payroll Cleaned'!G:G,0))</f>
        <v>4766</v>
      </c>
      <c r="D16" s="56" t="str">
        <f>_xlfn.XLOOKUP(A16,'US Employee Payroll Cleaned'!G:G,'US Employee Payroll Cleaned'!H:H,"Not found")</f>
        <v xml:space="preserve"> HERTZ, DANIEL K</v>
      </c>
    </row>
    <row r="17" spans="1:4" x14ac:dyDescent="0.25">
      <c r="A17" s="21" t="s">
        <v>105</v>
      </c>
      <c r="B17" s="12" t="str">
        <f>VLOOKUP(A17,'US Employee Payroll Cleaned'!G:N,2,FALSE)</f>
        <v xml:space="preserve"> THOMPSON, TAYLOR J</v>
      </c>
      <c r="C17" s="61">
        <f>INDEX('US Employee Payroll Cleaned'!A:A,MATCH('Lookup Sheet'!A17,'US Employee Payroll Cleaned'!G:G,0))</f>
        <v>2708</v>
      </c>
      <c r="D17" s="56" t="str">
        <f>_xlfn.XLOOKUP(A17,'US Employee Payroll Cleaned'!G:G,'US Employee Payroll Cleaned'!H:H,"Not found")</f>
        <v xml:space="preserve"> THOMPSON, TAYLOR J</v>
      </c>
    </row>
    <row r="18" spans="1:4" x14ac:dyDescent="0.25">
      <c r="A18" s="51" t="s">
        <v>111</v>
      </c>
      <c r="B18" s="12" t="str">
        <f>VLOOKUP(A18,'US Employee Payroll Cleaned'!G:N,2,FALSE)</f>
        <v xml:space="preserve"> ROBACK, BRADLEY G</v>
      </c>
      <c r="C18" s="61">
        <f>INDEX('US Employee Payroll Cleaned'!A:A,MATCH('Lookup Sheet'!A18,'US Employee Payroll Cleaned'!G:G,0))</f>
        <v>4536</v>
      </c>
      <c r="D18" s="56" t="str">
        <f>_xlfn.XLOOKUP(A18,'US Employee Payroll Cleaned'!G:G,'US Employee Payroll Cleaned'!H:H,"Not found")</f>
        <v xml:space="preserve"> ROBACK, BRADLEY G</v>
      </c>
    </row>
    <row r="19" spans="1:4" x14ac:dyDescent="0.25">
      <c r="A19" s="21" t="s">
        <v>117</v>
      </c>
      <c r="B19" s="12" t="str">
        <f>VLOOKUP(A19,'US Employee Payroll Cleaned'!G:N,2,FALSE)</f>
        <v xml:space="preserve"> OCIEPKA, LESZEK</v>
      </c>
      <c r="C19" s="61">
        <f>INDEX('US Employee Payroll Cleaned'!A:A,MATCH('Lookup Sheet'!A19,'US Employee Payroll Cleaned'!G:G,0))</f>
        <v>4271.5</v>
      </c>
      <c r="D19" s="56" t="str">
        <f>_xlfn.XLOOKUP(A19,'US Employee Payroll Cleaned'!G:G,'US Employee Payroll Cleaned'!H:H,"Not found")</f>
        <v xml:space="preserve"> OCIEPKA, LESZEK</v>
      </c>
    </row>
    <row r="20" spans="1:4" x14ac:dyDescent="0.25">
      <c r="A20" s="21" t="s">
        <v>87</v>
      </c>
      <c r="B20" s="12" t="str">
        <f>VLOOKUP(A20,'US Employee Payroll Cleaned'!G:N,2,FALSE)</f>
        <v xml:space="preserve"> WEBER, MICHAEL P</v>
      </c>
      <c r="C20" s="61">
        <f>INDEX('US Employee Payroll Cleaned'!A:A,MATCH('Lookup Sheet'!A20,'US Employee Payroll Cleaned'!G:G,0))</f>
        <v>4534</v>
      </c>
      <c r="D20" s="56" t="str">
        <f>_xlfn.XLOOKUP(A20,'US Employee Payroll Cleaned'!G:G,'US Employee Payroll Cleaned'!H:H,"Not found")</f>
        <v xml:space="preserve"> WEBER, MICHAEL P</v>
      </c>
    </row>
    <row r="21" spans="1:4" x14ac:dyDescent="0.25">
      <c r="A21" s="21" t="s">
        <v>127</v>
      </c>
      <c r="B21" s="12" t="str">
        <f>VLOOKUP(A21,'US Employee Payroll Cleaned'!G:N,2,FALSE)</f>
        <v xml:space="preserve"> ROWE, BRIAN M</v>
      </c>
      <c r="C21" s="61">
        <f>INDEX('US Employee Payroll Cleaned'!A:A,MATCH('Lookup Sheet'!A21,'US Employee Payroll Cleaned'!G:G,0))</f>
        <v>362.22</v>
      </c>
      <c r="D21" s="56" t="str">
        <f>_xlfn.XLOOKUP(A21,'US Employee Payroll Cleaned'!G:G,'US Employee Payroll Cleaned'!H:H,"Not found")</f>
        <v xml:space="preserve"> ROWE, BRIAN M</v>
      </c>
    </row>
    <row r="22" spans="1:4" x14ac:dyDescent="0.25">
      <c r="A22" s="21" t="s">
        <v>136</v>
      </c>
      <c r="B22" s="12" t="str">
        <f>VLOOKUP(A22,'US Employee Payroll Cleaned'!G:N,2,FALSE)</f>
        <v xml:space="preserve"> MONTE,  GRANT L</v>
      </c>
      <c r="C22" s="61">
        <f>INDEX('US Employee Payroll Cleaned'!A:A,MATCH('Lookup Sheet'!A22,'US Employee Payroll Cleaned'!G:G,0))</f>
        <v>735.43</v>
      </c>
      <c r="D22" s="56" t="str">
        <f>_xlfn.XLOOKUP(A22,'US Employee Payroll Cleaned'!G:G,'US Employee Payroll Cleaned'!H:H,"Not found")</f>
        <v xml:space="preserve"> MONTE,  GRANT L</v>
      </c>
    </row>
    <row r="23" spans="1:4" x14ac:dyDescent="0.25">
      <c r="A23" s="21" t="s">
        <v>34</v>
      </c>
      <c r="B23" s="12" t="str">
        <f>VLOOKUP(A23,'US Employee Payroll Cleaned'!G:N,2,FALSE)</f>
        <v xml:space="preserve"> GRAYER, SHELIA D</v>
      </c>
      <c r="C23" s="61">
        <f>INDEX('US Employee Payroll Cleaned'!A:A,MATCH('Lookup Sheet'!A23,'US Employee Payroll Cleaned'!G:G,0))</f>
        <v>3902.5</v>
      </c>
      <c r="D23" s="56" t="str">
        <f>_xlfn.XLOOKUP(A23,'US Employee Payroll Cleaned'!G:G,'US Employee Payroll Cleaned'!H:H,"Not found")</f>
        <v xml:space="preserve"> GRAYER, SHELIA D</v>
      </c>
    </row>
    <row r="24" spans="1:4" x14ac:dyDescent="0.25">
      <c r="A24" s="21" t="s">
        <v>141</v>
      </c>
      <c r="B24" s="12" t="str">
        <f>VLOOKUP(A24,'US Employee Payroll Cleaned'!G:N,2,FALSE)</f>
        <v xml:space="preserve"> LAW, JOHN A</v>
      </c>
      <c r="C24" s="61">
        <f>INDEX('US Employee Payroll Cleaned'!A:A,MATCH('Lookup Sheet'!A24,'US Employee Payroll Cleaned'!G:G,0))</f>
        <v>4534</v>
      </c>
      <c r="D24" s="56" t="str">
        <f>_xlfn.XLOOKUP(A24,'US Employee Payroll Cleaned'!G:G,'US Employee Payroll Cleaned'!H:H,"Not found")</f>
        <v xml:space="preserve"> LAW, JOHN A</v>
      </c>
    </row>
    <row r="25" spans="1:4" x14ac:dyDescent="0.25">
      <c r="A25" s="21" t="s">
        <v>146</v>
      </c>
      <c r="B25" s="12" t="str">
        <f>VLOOKUP(A25,'US Employee Payroll Cleaned'!G:N,2,FALSE)</f>
        <v xml:space="preserve"> CANNON, ANGELA</v>
      </c>
      <c r="C25" s="61">
        <f>INDEX('US Employee Payroll Cleaned'!A:A,MATCH('Lookup Sheet'!A25,'US Employee Payroll Cleaned'!G:G,0))</f>
        <v>4134.5</v>
      </c>
      <c r="D25" s="56" t="str">
        <f>_xlfn.XLOOKUP(A25,'US Employee Payroll Cleaned'!G:G,'US Employee Payroll Cleaned'!H:H,"Not found")</f>
        <v xml:space="preserve"> CANNON, ANGELA</v>
      </c>
    </row>
    <row r="26" spans="1:4" x14ac:dyDescent="0.25">
      <c r="A26" s="21" t="s">
        <v>45</v>
      </c>
      <c r="B26" s="12" t="str">
        <f>VLOOKUP(A26,'US Employee Payroll Cleaned'!G:N,2,FALSE)</f>
        <v xml:space="preserve"> THRUN, EMILY</v>
      </c>
      <c r="C26" s="61">
        <f>INDEX('US Employee Payroll Cleaned'!A:A,MATCH('Lookup Sheet'!A26,'US Employee Payroll Cleaned'!G:G,0))</f>
        <v>3711.5</v>
      </c>
      <c r="D26" s="56" t="str">
        <f>_xlfn.XLOOKUP(A26,'US Employee Payroll Cleaned'!G:G,'US Employee Payroll Cleaned'!H:H,"Not found")</f>
        <v xml:space="preserve"> THRUN, EMILY</v>
      </c>
    </row>
    <row r="27" spans="1:4" x14ac:dyDescent="0.25">
      <c r="A27" s="21" t="s">
        <v>153</v>
      </c>
      <c r="B27" s="12" t="str">
        <f>VLOOKUP(A27,'US Employee Payroll Cleaned'!G:N,2,FALSE)</f>
        <v xml:space="preserve"> BATSON, ELAINE S</v>
      </c>
      <c r="C27" s="61">
        <f>INDEX('US Employee Payroll Cleaned'!A:A,MATCH('Lookup Sheet'!A27,'US Employee Payroll Cleaned'!G:G,0))</f>
        <v>2783.5</v>
      </c>
      <c r="D27" s="56" t="str">
        <f>_xlfn.XLOOKUP(A27,'US Employee Payroll Cleaned'!G:G,'US Employee Payroll Cleaned'!H:H,"Not found")</f>
        <v xml:space="preserve"> BATSON, ELAINE S</v>
      </c>
    </row>
    <row r="28" spans="1:4" x14ac:dyDescent="0.25">
      <c r="A28" s="21" t="s">
        <v>158</v>
      </c>
      <c r="B28" s="12" t="str">
        <f>VLOOKUP(A28,'US Employee Payroll Cleaned'!G:N,2,FALSE)</f>
        <v xml:space="preserve"> KLICH</v>
      </c>
      <c r="C28" s="61">
        <f>INDEX('US Employee Payroll Cleaned'!A:A,MATCH('Lookup Sheet'!A28,'US Employee Payroll Cleaned'!G:G,0))</f>
        <v>3278</v>
      </c>
      <c r="D28" s="56" t="str">
        <f>_xlfn.XLOOKUP(A28,'US Employee Payroll Cleaned'!G:G,'US Employee Payroll Cleaned'!H:H,"Not found")</f>
        <v xml:space="preserve"> KLICH</v>
      </c>
    </row>
    <row r="29" spans="1:4" x14ac:dyDescent="0.25">
      <c r="A29" s="21" t="s">
        <v>162</v>
      </c>
      <c r="B29" s="12" t="str">
        <f>VLOOKUP(A29,'US Employee Payroll Cleaned'!G:N,2,FALSE)</f>
        <v xml:space="preserve"> TAYLOR, TYLER H</v>
      </c>
      <c r="C29" s="61">
        <f>INDEX('US Employee Payroll Cleaned'!A:A,MATCH('Lookup Sheet'!A29,'US Employee Payroll Cleaned'!G:G,0))</f>
        <v>2934.5</v>
      </c>
      <c r="D29" s="56" t="str">
        <f>_xlfn.XLOOKUP(A29,'US Employee Payroll Cleaned'!G:G,'US Employee Payroll Cleaned'!H:H,"Not found")</f>
        <v xml:space="preserve"> TAYLOR, TYLER H</v>
      </c>
    </row>
    <row r="30" spans="1:4" x14ac:dyDescent="0.25">
      <c r="A30" s="21" t="s">
        <v>50</v>
      </c>
      <c r="B30" s="12" t="str">
        <f>VLOOKUP(A30,'US Employee Payroll Cleaned'!G:N,2,FALSE)</f>
        <v xml:space="preserve"> BARTON, EMILY M</v>
      </c>
      <c r="C30" s="61">
        <f>INDEX('US Employee Payroll Cleaned'!A:A,MATCH('Lookup Sheet'!A30,'US Employee Payroll Cleaned'!G:G,0))</f>
        <v>3340.5</v>
      </c>
      <c r="D30" s="56" t="str">
        <f>_xlfn.XLOOKUP(A30,'US Employee Payroll Cleaned'!G:G,'US Employee Payroll Cleaned'!H:H,"Not found")</f>
        <v xml:space="preserve"> BARTON, EMILY M</v>
      </c>
    </row>
    <row r="31" spans="1:4" x14ac:dyDescent="0.25">
      <c r="A31" s="21" t="s">
        <v>168</v>
      </c>
      <c r="B31" s="12" t="str">
        <f>VLOOKUP(A31,'US Employee Payroll Cleaned'!G:N,2,FALSE)</f>
        <v xml:space="preserve"> SCHMITZ, MATTHEW M</v>
      </c>
      <c r="C31" s="61">
        <f>INDEX('US Employee Payroll Cleaned'!A:A,MATCH('Lookup Sheet'!A31,'US Employee Payroll Cleaned'!G:G,0))</f>
        <v>5478</v>
      </c>
      <c r="D31" s="56" t="str">
        <f>_xlfn.XLOOKUP(A31,'US Employee Payroll Cleaned'!G:G,'US Employee Payroll Cleaned'!H:H,"Not found")</f>
        <v xml:space="preserve"> SCHMITZ, MATTHEW M</v>
      </c>
    </row>
    <row r="32" spans="1:4" x14ac:dyDescent="0.25">
      <c r="A32" s="21" t="s">
        <v>87</v>
      </c>
      <c r="B32" s="12" t="str">
        <f>VLOOKUP(A32,'US Employee Payroll Cleaned'!G:N,2,FALSE)</f>
        <v xml:space="preserve"> WEBER, MICHAEL P</v>
      </c>
      <c r="C32" s="61">
        <f>INDEX('US Employee Payroll Cleaned'!A:A,MATCH('Lookup Sheet'!A32,'US Employee Payroll Cleaned'!G:G,0))</f>
        <v>4534</v>
      </c>
      <c r="D32" s="56" t="str">
        <f>_xlfn.XLOOKUP(A32,'US Employee Payroll Cleaned'!G:G,'US Employee Payroll Cleaned'!H:H,"Not found")</f>
        <v xml:space="preserve"> WEBER, MICHAEL P</v>
      </c>
    </row>
    <row r="33" spans="1:4" x14ac:dyDescent="0.25">
      <c r="A33" s="21" t="s">
        <v>175</v>
      </c>
      <c r="B33" s="12" t="str">
        <f>VLOOKUP(A33,'US Employee Payroll Cleaned'!G:N,2,FALSE)</f>
        <v xml:space="preserve"> HILL, SAMANTHA</v>
      </c>
      <c r="C33" s="61">
        <f>INDEX('US Employee Payroll Cleaned'!A:A,MATCH('Lookup Sheet'!A33,'US Employee Payroll Cleaned'!G:G,0))</f>
        <v>3055.5</v>
      </c>
      <c r="D33" s="56" t="str">
        <f>_xlfn.XLOOKUP(A33,'US Employee Payroll Cleaned'!G:G,'US Employee Payroll Cleaned'!H:H,"Not found")</f>
        <v xml:space="preserve"> HILL, SAMANTHA</v>
      </c>
    </row>
    <row r="34" spans="1:4" x14ac:dyDescent="0.25">
      <c r="A34" s="21" t="s">
        <v>181</v>
      </c>
      <c r="B34" s="12" t="str">
        <f>VLOOKUP(A34,'US Employee Payroll Cleaned'!G:N,2,FALSE)</f>
        <v xml:space="preserve"> HAMILTON, NATASHA A</v>
      </c>
      <c r="C34" s="61">
        <f>INDEX('US Employee Payroll Cleaned'!A:A,MATCH('Lookup Sheet'!A34,'US Employee Payroll Cleaned'!G:G,0))</f>
        <v>6111.5</v>
      </c>
      <c r="D34" s="56" t="str">
        <f>_xlfn.XLOOKUP(A34,'US Employee Payroll Cleaned'!G:G,'US Employee Payroll Cleaned'!H:H,"Not found")</f>
        <v xml:space="preserve"> HAMILTON, NATASHA A</v>
      </c>
    </row>
    <row r="35" spans="1:4" x14ac:dyDescent="0.25">
      <c r="A35" s="21" t="s">
        <v>187</v>
      </c>
      <c r="B35" s="12" t="str">
        <f>VLOOKUP(A35,'US Employee Payroll Cleaned'!G:N,2,FALSE)</f>
        <v xml:space="preserve"> MCKEE, ZACHARIA G</v>
      </c>
      <c r="C35" s="61">
        <f>INDEX('US Employee Payroll Cleaned'!A:A,MATCH('Lookup Sheet'!A35,'US Employee Payroll Cleaned'!G:G,0))</f>
        <v>546.70000000000005</v>
      </c>
      <c r="D35" s="56" t="str">
        <f>_xlfn.XLOOKUP(A35,'US Employee Payroll Cleaned'!G:G,'US Employee Payroll Cleaned'!H:H,"Not found")</f>
        <v xml:space="preserve"> MCKEE, ZACHARIA G</v>
      </c>
    </row>
    <row r="36" spans="1:4" x14ac:dyDescent="0.25">
      <c r="A36" s="21" t="s">
        <v>193</v>
      </c>
      <c r="B36" s="12" t="str">
        <f>VLOOKUP(A36,'US Employee Payroll Cleaned'!G:N,2,FALSE)</f>
        <v xml:space="preserve"> MORENO, BRIAN K</v>
      </c>
      <c r="C36" s="61">
        <f>INDEX('US Employee Payroll Cleaned'!A:A,MATCH('Lookup Sheet'!A36,'US Employee Payroll Cleaned'!G:G,0))</f>
        <v>-1378.03</v>
      </c>
      <c r="D36" s="56" t="str">
        <f>_xlfn.XLOOKUP(A36,'US Employee Payroll Cleaned'!G:G,'US Employee Payroll Cleaned'!H:H,"Not found")</f>
        <v xml:space="preserve"> MORENO, BRIAN K</v>
      </c>
    </row>
    <row r="37" spans="1:4" x14ac:dyDescent="0.25">
      <c r="A37" s="21" t="s">
        <v>197</v>
      </c>
      <c r="B37" s="12" t="str">
        <f>VLOOKUP(A37,'US Employee Payroll Cleaned'!G:N,2,FALSE)</f>
        <v xml:space="preserve"> LIANG, SUNNY S</v>
      </c>
      <c r="C37" s="61">
        <f>INDEX('US Employee Payroll Cleaned'!A:A,MATCH('Lookup Sheet'!A37,'US Employee Payroll Cleaned'!G:G,0))</f>
        <v>3095</v>
      </c>
      <c r="D37" s="56" t="str">
        <f>_xlfn.XLOOKUP(A37,'US Employee Payroll Cleaned'!G:G,'US Employee Payroll Cleaned'!H:H,"Not found")</f>
        <v xml:space="preserve"> LIANG, SUNNY S</v>
      </c>
    </row>
    <row r="38" spans="1:4" x14ac:dyDescent="0.25">
      <c r="A38" s="21" t="s">
        <v>202</v>
      </c>
      <c r="B38" s="12" t="str">
        <f>VLOOKUP(A38,'US Employee Payroll Cleaned'!G:N,2,FALSE)</f>
        <v xml:space="preserve"> MORGAN, LASHONDA L</v>
      </c>
      <c r="C38" s="61">
        <f>INDEX('US Employee Payroll Cleaned'!A:A,MATCH('Lookup Sheet'!A38,'US Employee Payroll Cleaned'!G:G,0))</f>
        <v>3394.5</v>
      </c>
      <c r="D38" s="56" t="str">
        <f>_xlfn.XLOOKUP(A38,'US Employee Payroll Cleaned'!G:G,'US Employee Payroll Cleaned'!H:H,"Not found")</f>
        <v xml:space="preserve"> MORGAN, LASHONDA L</v>
      </c>
    </row>
    <row r="39" spans="1:4" x14ac:dyDescent="0.25">
      <c r="A39" s="21" t="s">
        <v>62</v>
      </c>
      <c r="B39" s="12" t="str">
        <f>VLOOKUP(A39,'US Employee Payroll Cleaned'!G:N,2,FALSE)</f>
        <v xml:space="preserve"> ALBERT, DAMIAN K</v>
      </c>
      <c r="C39" s="61">
        <f>INDEX('US Employee Payroll Cleaned'!A:A,MATCH('Lookup Sheet'!A39,'US Employee Payroll Cleaned'!G:G,0))</f>
        <v>-194.51</v>
      </c>
      <c r="D39" s="56" t="str">
        <f>_xlfn.XLOOKUP(A39,'US Employee Payroll Cleaned'!G:G,'US Employee Payroll Cleaned'!H:H,"Not found")</f>
        <v xml:space="preserve"> ALBERT, DAMIAN K</v>
      </c>
    </row>
    <row r="40" spans="1:4" x14ac:dyDescent="0.25">
      <c r="A40" s="21" t="s">
        <v>208</v>
      </c>
      <c r="B40" s="12" t="str">
        <f>VLOOKUP(A40,'US Employee Payroll Cleaned'!G:N,2,FALSE)</f>
        <v xml:space="preserve"> HENRY, AMY L</v>
      </c>
      <c r="C40" s="61">
        <f>INDEX('US Employee Payroll Cleaned'!A:A,MATCH('Lookup Sheet'!A40,'US Employee Payroll Cleaned'!G:G,0))</f>
        <v>5212</v>
      </c>
      <c r="D40" s="56" t="str">
        <f>_xlfn.XLOOKUP(A40,'US Employee Payroll Cleaned'!G:G,'US Employee Payroll Cleaned'!H:H,"Not found")</f>
        <v xml:space="preserve"> HENRY, AMY L</v>
      </c>
    </row>
    <row r="41" spans="1:4" x14ac:dyDescent="0.25">
      <c r="A41" s="21" t="s">
        <v>213</v>
      </c>
      <c r="B41" s="12" t="str">
        <f>VLOOKUP(A41,'US Employee Payroll Cleaned'!G:N,2,FALSE)</f>
        <v xml:space="preserve"> HOLLAND, WILLIAM R</v>
      </c>
      <c r="C41" s="61">
        <f>INDEX('US Employee Payroll Cleaned'!A:A,MATCH('Lookup Sheet'!A41,'US Employee Payroll Cleaned'!G:G,0))</f>
        <v>3250</v>
      </c>
      <c r="D41" s="56" t="str">
        <f>_xlfn.XLOOKUP(A41,'US Employee Payroll Cleaned'!G:G,'US Employee Payroll Cleaned'!H:H,"Not found")</f>
        <v xml:space="preserve"> HOLLAND, WILLIAM R</v>
      </c>
    </row>
    <row r="42" spans="1:4" x14ac:dyDescent="0.25">
      <c r="A42" s="21" t="s">
        <v>218</v>
      </c>
      <c r="B42" s="12" t="str">
        <f>VLOOKUP(A42,'US Employee Payroll Cleaned'!G:N,2,FALSE)</f>
        <v xml:space="preserve"> MUHAMMAD, FARIDUDDIN M</v>
      </c>
      <c r="C42" s="61">
        <f>INDEX('US Employee Payroll Cleaned'!A:A,MATCH('Lookup Sheet'!A42,'US Employee Payroll Cleaned'!G:G,0))</f>
        <v>3245.5</v>
      </c>
      <c r="D42" s="56" t="str">
        <f>_xlfn.XLOOKUP(A42,'US Employee Payroll Cleaned'!G:G,'US Employee Payroll Cleaned'!H:H,"Not found")</f>
        <v xml:space="preserve"> MUHAMMAD, FARIDUDDIN M</v>
      </c>
    </row>
    <row r="43" spans="1:4" x14ac:dyDescent="0.25">
      <c r="A43" s="21" t="s">
        <v>224</v>
      </c>
      <c r="B43" s="12" t="str">
        <f>VLOOKUP(A43,'US Employee Payroll Cleaned'!G:N,2,FALSE)</f>
        <v xml:space="preserve"> JOHNSON, AARON M</v>
      </c>
      <c r="C43" s="61">
        <f>INDEX('US Employee Payroll Cleaned'!A:A,MATCH('Lookup Sheet'!A43,'US Employee Payroll Cleaned'!G:G,0))</f>
        <v>4064.5</v>
      </c>
      <c r="D43" s="56" t="str">
        <f>_xlfn.XLOOKUP(A43,'US Employee Payroll Cleaned'!G:G,'US Employee Payroll Cleaned'!H:H,"Not found")</f>
        <v xml:space="preserve"> JOHNSON, AARON M</v>
      </c>
    </row>
    <row r="44" spans="1:4" x14ac:dyDescent="0.25">
      <c r="A44" s="21" t="s">
        <v>229</v>
      </c>
      <c r="B44" s="12" t="str">
        <f>VLOOKUP(A44,'US Employee Payroll Cleaned'!G:N,2,FALSE)</f>
        <v xml:space="preserve"> DURHAM, DESTINY L</v>
      </c>
      <c r="C44" s="61">
        <f>INDEX('US Employee Payroll Cleaned'!A:A,MATCH('Lookup Sheet'!A44,'US Employee Payroll Cleaned'!G:G,0))</f>
        <v>4229.5</v>
      </c>
      <c r="D44" s="56" t="str">
        <f>_xlfn.XLOOKUP(A44,'US Employee Payroll Cleaned'!G:G,'US Employee Payroll Cleaned'!H:H,"Not found")</f>
        <v xml:space="preserve"> DURHAM, DESTINY L</v>
      </c>
    </row>
    <row r="45" spans="1:4" x14ac:dyDescent="0.25">
      <c r="A45" s="21" t="s">
        <v>181</v>
      </c>
      <c r="B45" s="12" t="str">
        <f>VLOOKUP(A45,'US Employee Payroll Cleaned'!G:N,2,FALSE)</f>
        <v xml:space="preserve"> HAMILTON, NATASHA A</v>
      </c>
      <c r="C45" s="61">
        <f>INDEX('US Employee Payroll Cleaned'!A:A,MATCH('Lookup Sheet'!A45,'US Employee Payroll Cleaned'!G:G,0))</f>
        <v>6111.5</v>
      </c>
      <c r="D45" s="56" t="str">
        <f>_xlfn.XLOOKUP(A45,'US Employee Payroll Cleaned'!G:G,'US Employee Payroll Cleaned'!H:H,"Not found")</f>
        <v xml:space="preserve"> HAMILTON, NATASHA A</v>
      </c>
    </row>
    <row r="46" spans="1:4" x14ac:dyDescent="0.25">
      <c r="A46" s="21" t="s">
        <v>141</v>
      </c>
      <c r="B46" s="12" t="str">
        <f>VLOOKUP(A46,'US Employee Payroll Cleaned'!G:N,2,FALSE)</f>
        <v xml:space="preserve"> LAW, JOHN A</v>
      </c>
      <c r="C46" s="61">
        <f>INDEX('US Employee Payroll Cleaned'!A:A,MATCH('Lookup Sheet'!A46,'US Employee Payroll Cleaned'!G:G,0))</f>
        <v>4534</v>
      </c>
      <c r="D46" s="56" t="str">
        <f>_xlfn.XLOOKUP(A46,'US Employee Payroll Cleaned'!G:G,'US Employee Payroll Cleaned'!H:H,"Not found")</f>
        <v xml:space="preserve"> LAW, JOHN A</v>
      </c>
    </row>
    <row r="47" spans="1:4" x14ac:dyDescent="0.25">
      <c r="A47" s="21" t="s">
        <v>146</v>
      </c>
      <c r="B47" s="12" t="str">
        <f>VLOOKUP(A47,'US Employee Payroll Cleaned'!G:N,2,FALSE)</f>
        <v xml:space="preserve"> CANNON, ANGELA</v>
      </c>
      <c r="C47" s="61">
        <f>INDEX('US Employee Payroll Cleaned'!A:A,MATCH('Lookup Sheet'!A47,'US Employee Payroll Cleaned'!G:G,0))</f>
        <v>4134.5</v>
      </c>
      <c r="D47" s="56" t="str">
        <f>_xlfn.XLOOKUP(A47,'US Employee Payroll Cleaned'!G:G,'US Employee Payroll Cleaned'!H:H,"Not found")</f>
        <v xml:space="preserve"> CANNON, ANGELA</v>
      </c>
    </row>
    <row r="48" spans="1:4" x14ac:dyDescent="0.25">
      <c r="A48" s="21" t="s">
        <v>236</v>
      </c>
      <c r="B48" s="12" t="str">
        <f>VLOOKUP(A48,'US Employee Payroll Cleaned'!G:N,2,FALSE)</f>
        <v xml:space="preserve"> RICE, CARL M</v>
      </c>
      <c r="C48" s="61">
        <f>INDEX('US Employee Payroll Cleaned'!A:A,MATCH('Lookup Sheet'!A48,'US Employee Payroll Cleaned'!G:G,0))</f>
        <v>2791</v>
      </c>
      <c r="D48" s="56" t="str">
        <f>_xlfn.XLOOKUP(A48,'US Employee Payroll Cleaned'!G:G,'US Employee Payroll Cleaned'!H:H,"Not found")</f>
        <v xml:space="preserve"> RICE, CARL M</v>
      </c>
    </row>
    <row r="49" spans="1:4" x14ac:dyDescent="0.25">
      <c r="A49" s="21" t="s">
        <v>240</v>
      </c>
      <c r="B49" s="12" t="str">
        <f>VLOOKUP(A49,'US Employee Payroll Cleaned'!G:N,2,FALSE)</f>
        <v xml:space="preserve"> ROBLES, ANNA M</v>
      </c>
      <c r="C49" s="61">
        <f>INDEX('US Employee Payroll Cleaned'!A:A,MATCH('Lookup Sheet'!A49,'US Employee Payroll Cleaned'!G:G,0))</f>
        <v>5212</v>
      </c>
      <c r="D49" s="56" t="str">
        <f>_xlfn.XLOOKUP(A49,'US Employee Payroll Cleaned'!G:G,'US Employee Payroll Cleaned'!H:H,"Not found")</f>
        <v xml:space="preserve"> ROBLES, ANNA M</v>
      </c>
    </row>
    <row r="50" spans="1:4" x14ac:dyDescent="0.25">
      <c r="A50" s="21" t="s">
        <v>213</v>
      </c>
      <c r="B50" s="12" t="str">
        <f>VLOOKUP(A50,'US Employee Payroll Cleaned'!G:N,2,FALSE)</f>
        <v xml:space="preserve"> HOLLAND, WILLIAM R</v>
      </c>
      <c r="C50" s="61">
        <f>INDEX('US Employee Payroll Cleaned'!A:A,MATCH('Lookup Sheet'!A50,'US Employee Payroll Cleaned'!G:G,0))</f>
        <v>3250</v>
      </c>
      <c r="D50" s="56" t="str">
        <f>_xlfn.XLOOKUP(A50,'US Employee Payroll Cleaned'!G:G,'US Employee Payroll Cleaned'!H:H,"Not found")</f>
        <v xml:space="preserve"> HOLLAND, WILLIAM R</v>
      </c>
    </row>
    <row r="51" spans="1:4" x14ac:dyDescent="0.25">
      <c r="A51" s="21" t="s">
        <v>153</v>
      </c>
      <c r="B51" s="12" t="str">
        <f>VLOOKUP(A51,'US Employee Payroll Cleaned'!G:N,2,FALSE)</f>
        <v xml:space="preserve"> BATSON, ELAINE S</v>
      </c>
      <c r="C51" s="61">
        <f>INDEX('US Employee Payroll Cleaned'!A:A,MATCH('Lookup Sheet'!A51,'US Employee Payroll Cleaned'!G:G,0))</f>
        <v>2783.5</v>
      </c>
      <c r="D51" s="56" t="str">
        <f>_xlfn.XLOOKUP(A51,'US Employee Payroll Cleaned'!G:G,'US Employee Payroll Cleaned'!H:H,"Not found")</f>
        <v xml:space="preserve"> BATSON, ELAINE S</v>
      </c>
    </row>
    <row r="52" spans="1:4" x14ac:dyDescent="0.25">
      <c r="A52" s="21" t="s">
        <v>247</v>
      </c>
      <c r="B52" s="12" t="str">
        <f>VLOOKUP(A52,'US Employee Payroll Cleaned'!G:N,2,FALSE)</f>
        <v xml:space="preserve"> GUSTAFSON, MEG E</v>
      </c>
      <c r="C52" s="61">
        <f>INDEX('US Employee Payroll Cleaned'!A:A,MATCH('Lookup Sheet'!A52,'US Employee Payroll Cleaned'!G:G,0))</f>
        <v>3946</v>
      </c>
      <c r="D52" s="56" t="str">
        <f>_xlfn.XLOOKUP(A52,'US Employee Payroll Cleaned'!G:G,'US Employee Payroll Cleaned'!H:H,"Not found")</f>
        <v xml:space="preserve"> GUSTAFSON, MEG E</v>
      </c>
    </row>
    <row r="53" spans="1:4" x14ac:dyDescent="0.25">
      <c r="A53" s="51" t="s">
        <v>111</v>
      </c>
      <c r="B53" s="12" t="str">
        <f>VLOOKUP(A53,'US Employee Payroll Cleaned'!G:N,2,FALSE)</f>
        <v xml:space="preserve"> ROBACK, BRADLEY G</v>
      </c>
      <c r="C53" s="61">
        <f>INDEX('US Employee Payroll Cleaned'!A:A,MATCH('Lookup Sheet'!A53,'US Employee Payroll Cleaned'!G:G,0))</f>
        <v>4536</v>
      </c>
      <c r="D53" s="56" t="str">
        <f>_xlfn.XLOOKUP(A53,'US Employee Payroll Cleaned'!G:G,'US Employee Payroll Cleaned'!H:H,"Not found")</f>
        <v xml:space="preserve"> ROBACK, BRADLEY G</v>
      </c>
    </row>
    <row r="54" spans="1:4" x14ac:dyDescent="0.25">
      <c r="A54" s="21" t="s">
        <v>117</v>
      </c>
      <c r="B54" s="12" t="str">
        <f>VLOOKUP(A54,'US Employee Payroll Cleaned'!G:N,2,FALSE)</f>
        <v xml:space="preserve"> OCIEPKA, LESZEK</v>
      </c>
      <c r="C54" s="61">
        <f>INDEX('US Employee Payroll Cleaned'!A:A,MATCH('Lookup Sheet'!A54,'US Employee Payroll Cleaned'!G:G,0))</f>
        <v>4271.5</v>
      </c>
      <c r="D54" s="56" t="str">
        <f>_xlfn.XLOOKUP(A54,'US Employee Payroll Cleaned'!G:G,'US Employee Payroll Cleaned'!H:H,"Not found")</f>
        <v xml:space="preserve"> OCIEPKA, LESZEK</v>
      </c>
    </row>
    <row r="55" spans="1:4" x14ac:dyDescent="0.25">
      <c r="A55" s="21" t="s">
        <v>254</v>
      </c>
      <c r="B55" s="12" t="str">
        <f>VLOOKUP(A55,'US Employee Payroll Cleaned'!G:N,2,FALSE)</f>
        <v xml:space="preserve"> MURPHEY, THOMAS P</v>
      </c>
      <c r="C55" s="61">
        <f>INDEX('US Employee Payroll Cleaned'!A:A,MATCH('Lookup Sheet'!A55,'US Employee Payroll Cleaned'!G:G,0))</f>
        <v>5816.5</v>
      </c>
      <c r="D55" s="56" t="str">
        <f>_xlfn.XLOOKUP(A55,'US Employee Payroll Cleaned'!G:G,'US Employee Payroll Cleaned'!H:H,"Not found")</f>
        <v xml:space="preserve"> MURPHEY, THOMAS P</v>
      </c>
    </row>
    <row r="56" spans="1:4" x14ac:dyDescent="0.25">
      <c r="A56" s="21" t="s">
        <v>258</v>
      </c>
      <c r="B56" s="12" t="str">
        <f>VLOOKUP(A56,'US Employee Payroll Cleaned'!G:N,2,FALSE)</f>
        <v xml:space="preserve"> MUNGIN, WHITNI E</v>
      </c>
      <c r="C56" s="61">
        <f>INDEX('US Employee Payroll Cleaned'!A:A,MATCH('Lookup Sheet'!A56,'US Employee Payroll Cleaned'!G:G,0))</f>
        <v>4229.5</v>
      </c>
      <c r="D56" s="56" t="str">
        <f>_xlfn.XLOOKUP(A56,'US Employee Payroll Cleaned'!G:G,'US Employee Payroll Cleaned'!H:H,"Not found")</f>
        <v xml:space="preserve"> MUNGIN, WHITNI E</v>
      </c>
    </row>
    <row r="57" spans="1:4" x14ac:dyDescent="0.25">
      <c r="A57" s="21" t="s">
        <v>34</v>
      </c>
      <c r="B57" s="12" t="str">
        <f>VLOOKUP(A57,'US Employee Payroll Cleaned'!G:N,2,FALSE)</f>
        <v xml:space="preserve"> GRAYER, SHELIA D</v>
      </c>
      <c r="C57" s="61">
        <f>INDEX('US Employee Payroll Cleaned'!A:A,MATCH('Lookup Sheet'!A57,'US Employee Payroll Cleaned'!G:G,0))</f>
        <v>3902.5</v>
      </c>
      <c r="D57" s="56" t="str">
        <f>_xlfn.XLOOKUP(A57,'US Employee Payroll Cleaned'!G:G,'US Employee Payroll Cleaned'!H:H,"Not found")</f>
        <v xml:space="preserve"> GRAYER, SHELIA D</v>
      </c>
    </row>
    <row r="58" spans="1:4" x14ac:dyDescent="0.25">
      <c r="A58" s="21" t="s">
        <v>202</v>
      </c>
      <c r="B58" s="12" t="str">
        <f>VLOOKUP(A58,'US Employee Payroll Cleaned'!G:N,2,FALSE)</f>
        <v xml:space="preserve"> MORGAN, LASHONDA L</v>
      </c>
      <c r="C58" s="61">
        <f>INDEX('US Employee Payroll Cleaned'!A:A,MATCH('Lookup Sheet'!A58,'US Employee Payroll Cleaned'!G:G,0))</f>
        <v>3394.5</v>
      </c>
      <c r="D58" s="56" t="str">
        <f>_xlfn.XLOOKUP(A58,'US Employee Payroll Cleaned'!G:G,'US Employee Payroll Cleaned'!H:H,"Not found")</f>
        <v xml:space="preserve"> MORGAN, LASHONDA L</v>
      </c>
    </row>
    <row r="59" spans="1:4" x14ac:dyDescent="0.25">
      <c r="A59" s="21" t="s">
        <v>263</v>
      </c>
      <c r="B59" s="12" t="str">
        <f>VLOOKUP(A59,'US Employee Payroll Cleaned'!G:N,2,FALSE)</f>
        <v xml:space="preserve"> JIRASEK, GABRIELA C</v>
      </c>
      <c r="C59" s="61">
        <f>INDEX('US Employee Payroll Cleaned'!A:A,MATCH('Lookup Sheet'!A59,'US Employee Payroll Cleaned'!G:G,0))</f>
        <v>4534</v>
      </c>
      <c r="D59" s="56" t="str">
        <f>_xlfn.XLOOKUP(A59,'US Employee Payroll Cleaned'!G:G,'US Employee Payroll Cleaned'!H:H,"Not found")</f>
        <v xml:space="preserve"> JIRASEK, GABRIELA C</v>
      </c>
    </row>
    <row r="60" spans="1:4" x14ac:dyDescent="0.25">
      <c r="A60" s="21" t="s">
        <v>268</v>
      </c>
      <c r="B60" s="12" t="str">
        <f>VLOOKUP(A60,'US Employee Payroll Cleaned'!G:N,2,FALSE)</f>
        <v xml:space="preserve"> RAMIREZ, CARLOS H</v>
      </c>
      <c r="C60" s="61">
        <f>INDEX('US Employee Payroll Cleaned'!A:A,MATCH('Lookup Sheet'!A60,'US Employee Payroll Cleaned'!G:G,0))</f>
        <v>5152.5</v>
      </c>
      <c r="D60" s="56" t="str">
        <f>_xlfn.XLOOKUP(A60,'US Employee Payroll Cleaned'!G:G,'US Employee Payroll Cleaned'!H:H,"Not found")</f>
        <v xml:space="preserve"> RAMIREZ, CARLOS H</v>
      </c>
    </row>
    <row r="61" spans="1:4" x14ac:dyDescent="0.25">
      <c r="A61" s="21" t="s">
        <v>76</v>
      </c>
      <c r="B61" s="12" t="str">
        <f>VLOOKUP(A61,'US Employee Payroll Cleaned'!G:N,2,FALSE)</f>
        <v xml:space="preserve"> NOLTER, ROBERT J</v>
      </c>
      <c r="C61" s="61">
        <f>INDEX('US Employee Payroll Cleaned'!A:A,MATCH('Lookup Sheet'!A61,'US Employee Payroll Cleaned'!G:G,0))</f>
        <v>2542.5</v>
      </c>
      <c r="D61" s="56" t="str">
        <f>_xlfn.XLOOKUP(A61,'US Employee Payroll Cleaned'!G:G,'US Employee Payroll Cleaned'!H:H,"Not found")</f>
        <v xml:space="preserve"> NOLTER, ROBERT J</v>
      </c>
    </row>
    <row r="62" spans="1:4" x14ac:dyDescent="0.25">
      <c r="A62" s="21" t="s">
        <v>276</v>
      </c>
      <c r="B62" s="12" t="str">
        <f>VLOOKUP(A62,'US Employee Payroll Cleaned'!G:N,2,FALSE)</f>
        <v xml:space="preserve"> RICHKO JR, ANTHONY E</v>
      </c>
      <c r="C62" s="61">
        <f>INDEX('US Employee Payroll Cleaned'!A:A,MATCH('Lookup Sheet'!A62,'US Employee Payroll Cleaned'!G:G,0))</f>
        <v>1738.79</v>
      </c>
      <c r="D62" s="56" t="str">
        <f>_xlfn.XLOOKUP(A62,'US Employee Payroll Cleaned'!G:G,'US Employee Payroll Cleaned'!H:H,"Not found")</f>
        <v xml:space="preserve"> RICHKO JR, ANTHONY E</v>
      </c>
    </row>
    <row r="63" spans="1:4" x14ac:dyDescent="0.25">
      <c r="A63" s="21" t="s">
        <v>283</v>
      </c>
      <c r="B63" s="12" t="str">
        <f>VLOOKUP(A63,'US Employee Payroll Cleaned'!G:N,2,FALSE)</f>
        <v xml:space="preserve"> ALNASER, ANNA Y</v>
      </c>
      <c r="C63" s="61">
        <f>INDEX('US Employee Payroll Cleaned'!A:A,MATCH('Lookup Sheet'!A63,'US Employee Payroll Cleaned'!G:G,0))</f>
        <v>2783.5</v>
      </c>
      <c r="D63" s="56" t="str">
        <f>_xlfn.XLOOKUP(A63,'US Employee Payroll Cleaned'!G:G,'US Employee Payroll Cleaned'!H:H,"Not found")</f>
        <v xml:space="preserve"> ALNASER, ANNA Y</v>
      </c>
    </row>
    <row r="64" spans="1:4" x14ac:dyDescent="0.25">
      <c r="A64" s="21" t="s">
        <v>287</v>
      </c>
      <c r="B64" s="12" t="str">
        <f>VLOOKUP(A64,'US Employee Payroll Cleaned'!G:N,2,FALSE)</f>
        <v xml:space="preserve"> PATE, ONEIDA R</v>
      </c>
      <c r="C64" s="61">
        <f>INDEX('US Employee Payroll Cleaned'!A:A,MATCH('Lookup Sheet'!A64,'US Employee Payroll Cleaned'!G:G,0))</f>
        <v>4274</v>
      </c>
      <c r="D64" s="56" t="str">
        <f>_xlfn.XLOOKUP(A64,'US Employee Payroll Cleaned'!G:G,'US Employee Payroll Cleaned'!H:H,"Not found")</f>
        <v xml:space="preserve"> PATE, ONEIDA R</v>
      </c>
    </row>
    <row r="65" spans="1:4" x14ac:dyDescent="0.25">
      <c r="A65" s="21" t="s">
        <v>162</v>
      </c>
      <c r="B65" s="12" t="str">
        <f>VLOOKUP(A65,'US Employee Payroll Cleaned'!G:N,2,FALSE)</f>
        <v xml:space="preserve"> TAYLOR, TYLER H</v>
      </c>
      <c r="C65" s="61">
        <f>INDEX('US Employee Payroll Cleaned'!A:A,MATCH('Lookup Sheet'!A65,'US Employee Payroll Cleaned'!G:G,0))</f>
        <v>2934.5</v>
      </c>
      <c r="D65" s="56" t="str">
        <f>_xlfn.XLOOKUP(A65,'US Employee Payroll Cleaned'!G:G,'US Employee Payroll Cleaned'!H:H,"Not found")</f>
        <v xml:space="preserve"> TAYLOR, TYLER H</v>
      </c>
    </row>
    <row r="66" spans="1:4" x14ac:dyDescent="0.25">
      <c r="A66" s="21" t="s">
        <v>292</v>
      </c>
      <c r="B66" s="12" t="str">
        <f>VLOOKUP(A66,'US Employee Payroll Cleaned'!G:N,2,FALSE)</f>
        <v xml:space="preserve"> ROUBIK, CYNTHIA J</v>
      </c>
      <c r="C66" s="61">
        <f>INDEX('US Employee Payroll Cleaned'!A:A,MATCH('Lookup Sheet'!A66,'US Employee Payroll Cleaned'!G:G,0))</f>
        <v>5317</v>
      </c>
      <c r="D66" s="56" t="str">
        <f>_xlfn.XLOOKUP(A66,'US Employee Payroll Cleaned'!G:G,'US Employee Payroll Cleaned'!H:H,"Not found")</f>
        <v xml:space="preserve"> ROUBIK, CYNTHIA J</v>
      </c>
    </row>
    <row r="67" spans="1:4" x14ac:dyDescent="0.25">
      <c r="A67" s="21" t="s">
        <v>93</v>
      </c>
      <c r="B67" s="12" t="str">
        <f>VLOOKUP(A67,'US Employee Payroll Cleaned'!G:N,2,FALSE)</f>
        <v xml:space="preserve"> NELSON, GABRIELLA M</v>
      </c>
      <c r="C67" s="61">
        <f>INDEX('US Employee Payroll Cleaned'!A:A,MATCH('Lookup Sheet'!A67,'US Employee Payroll Cleaned'!G:G,0))</f>
        <v>3607.5</v>
      </c>
      <c r="D67" s="56" t="str">
        <f>_xlfn.XLOOKUP(A67,'US Employee Payroll Cleaned'!G:G,'US Employee Payroll Cleaned'!H:H,"Not found")</f>
        <v xml:space="preserve"> NELSON, GABRIELLA M</v>
      </c>
    </row>
    <row r="68" spans="1:4" x14ac:dyDescent="0.25">
      <c r="A68" s="21" t="s">
        <v>299</v>
      </c>
      <c r="B68" s="12" t="str">
        <f>VLOOKUP(A68,'US Employee Payroll Cleaned'!G:N,2,FALSE)</f>
        <v xml:space="preserve"> COLLINS, KATRINA M</v>
      </c>
      <c r="C68" s="61">
        <f>INDEX('US Employee Payroll Cleaned'!A:A,MATCH('Lookup Sheet'!A68,'US Employee Payroll Cleaned'!G:G,0))</f>
        <v>3398</v>
      </c>
      <c r="D68" s="56" t="str">
        <f>_xlfn.XLOOKUP(A68,'US Employee Payroll Cleaned'!G:G,'US Employee Payroll Cleaned'!H:H,"Not found")</f>
        <v xml:space="preserve"> COLLINS, KATRINA M</v>
      </c>
    </row>
    <row r="69" spans="1:4" x14ac:dyDescent="0.25">
      <c r="A69" s="21" t="s">
        <v>304</v>
      </c>
      <c r="B69" s="12" t="str">
        <f>VLOOKUP(A69,'US Employee Payroll Cleaned'!G:N,2,FALSE)</f>
        <v xml:space="preserve"> RESA, VICTOR T</v>
      </c>
      <c r="C69" s="61">
        <f>INDEX('US Employee Payroll Cleaned'!A:A,MATCH('Lookup Sheet'!A69,'US Employee Payroll Cleaned'!G:G,0))</f>
        <v>4536</v>
      </c>
      <c r="D69" s="56" t="str">
        <f>_xlfn.XLOOKUP(A69,'US Employee Payroll Cleaned'!G:G,'US Employee Payroll Cleaned'!H:H,"Not found")</f>
        <v xml:space="preserve"> RESA, VICTOR T</v>
      </c>
    </row>
    <row r="70" spans="1:4" x14ac:dyDescent="0.25">
      <c r="A70" s="21" t="s">
        <v>309</v>
      </c>
      <c r="B70" s="12" t="str">
        <f>VLOOKUP(A70,'US Employee Payroll Cleaned'!G:N,2,FALSE)</f>
        <v xml:space="preserve"> KHALIQUE, FARHAN A</v>
      </c>
      <c r="C70" s="61">
        <f>INDEX('US Employee Payroll Cleaned'!A:A,MATCH('Lookup Sheet'!A70,'US Employee Payroll Cleaned'!G:G,0))</f>
        <v>4043</v>
      </c>
      <c r="D70" s="56" t="str">
        <f>_xlfn.XLOOKUP(A70,'US Employee Payroll Cleaned'!G:G,'US Employee Payroll Cleaned'!H:H,"Not found")</f>
        <v xml:space="preserve"> KHALIQUE, FARHAN A</v>
      </c>
    </row>
    <row r="71" spans="1:4" x14ac:dyDescent="0.25">
      <c r="A71" s="21" t="s">
        <v>236</v>
      </c>
      <c r="B71" s="12" t="str">
        <f>VLOOKUP(A71,'US Employee Payroll Cleaned'!G:N,2,FALSE)</f>
        <v xml:space="preserve"> RICE, CARL M</v>
      </c>
      <c r="C71" s="61">
        <f>INDEX('US Employee Payroll Cleaned'!A:A,MATCH('Lookup Sheet'!A71,'US Employee Payroll Cleaned'!G:G,0))</f>
        <v>2791</v>
      </c>
      <c r="D71" s="56" t="str">
        <f>_xlfn.XLOOKUP(A71,'US Employee Payroll Cleaned'!G:G,'US Employee Payroll Cleaned'!H:H,"Not found")</f>
        <v xml:space="preserve"> RICE, CARL M</v>
      </c>
    </row>
    <row r="72" spans="1:4" x14ac:dyDescent="0.25">
      <c r="A72" s="21" t="s">
        <v>315</v>
      </c>
      <c r="B72" s="12" t="str">
        <f>VLOOKUP(A72,'US Employee Payroll Cleaned'!G:N,2,FALSE)</f>
        <v xml:space="preserve"> KLAIBER, DANIEL R</v>
      </c>
      <c r="C72" s="61">
        <f>INDEX('US Employee Payroll Cleaned'!A:A,MATCH('Lookup Sheet'!A72,'US Employee Payroll Cleaned'!G:G,0))</f>
        <v>4444.5</v>
      </c>
      <c r="D72" s="56" t="str">
        <f>_xlfn.XLOOKUP(A72,'US Employee Payroll Cleaned'!G:G,'US Employee Payroll Cleaned'!H:H,"Not found")</f>
        <v xml:space="preserve"> KLAIBER, DANIEL R</v>
      </c>
    </row>
    <row r="73" spans="1:4" x14ac:dyDescent="0.25">
      <c r="A73" s="21" t="s">
        <v>56</v>
      </c>
      <c r="B73" s="12" t="str">
        <f>VLOOKUP(A73,'US Employee Payroll Cleaned'!G:N,2,FALSE)</f>
        <v xml:space="preserve"> DAYE, RONALD J</v>
      </c>
      <c r="C73" s="61">
        <f>INDEX('US Employee Payroll Cleaned'!A:A,MATCH('Lookup Sheet'!A73,'US Employee Payroll Cleaned'!G:G,0))</f>
        <v>4274</v>
      </c>
      <c r="D73" s="56" t="str">
        <f>_xlfn.XLOOKUP(A73,'US Employee Payroll Cleaned'!G:G,'US Employee Payroll Cleaned'!H:H,"Not found")</f>
        <v xml:space="preserve"> DAYE, RONALD J</v>
      </c>
    </row>
    <row r="74" spans="1:4" x14ac:dyDescent="0.25">
      <c r="A74" s="21" t="s">
        <v>254</v>
      </c>
      <c r="B74" s="12" t="str">
        <f>VLOOKUP(A74,'US Employee Payroll Cleaned'!G:N,2,FALSE)</f>
        <v xml:space="preserve"> MURPHEY, THOMAS P</v>
      </c>
      <c r="C74" s="61">
        <f>INDEX('US Employee Payroll Cleaned'!A:A,MATCH('Lookup Sheet'!A74,'US Employee Payroll Cleaned'!G:G,0))</f>
        <v>5816.5</v>
      </c>
      <c r="D74" s="56" t="str">
        <f>_xlfn.XLOOKUP(A74,'US Employee Payroll Cleaned'!G:G,'US Employee Payroll Cleaned'!H:H,"Not found")</f>
        <v xml:space="preserve"> MURPHEY, THOMAS P</v>
      </c>
    </row>
    <row r="75" spans="1:4" x14ac:dyDescent="0.25">
      <c r="A75" s="21" t="s">
        <v>168</v>
      </c>
      <c r="B75" s="12" t="str">
        <f>VLOOKUP(A75,'US Employee Payroll Cleaned'!G:N,2,FALSE)</f>
        <v xml:space="preserve"> SCHMITZ, MATTHEW M</v>
      </c>
      <c r="C75" s="61">
        <f>INDEX('US Employee Payroll Cleaned'!A:A,MATCH('Lookup Sheet'!A75,'US Employee Payroll Cleaned'!G:G,0))</f>
        <v>5478</v>
      </c>
      <c r="D75" s="56" t="str">
        <f>_xlfn.XLOOKUP(A75,'US Employee Payroll Cleaned'!G:G,'US Employee Payroll Cleaned'!H:H,"Not found")</f>
        <v xml:space="preserve"> SCHMITZ, MATTHEW M</v>
      </c>
    </row>
    <row r="76" spans="1:4" x14ac:dyDescent="0.25">
      <c r="A76" s="21" t="s">
        <v>87</v>
      </c>
      <c r="B76" s="12" t="str">
        <f>VLOOKUP(A76,'US Employee Payroll Cleaned'!G:N,2,FALSE)</f>
        <v xml:space="preserve"> WEBER, MICHAEL P</v>
      </c>
      <c r="C76" s="61">
        <f>INDEX('US Employee Payroll Cleaned'!A:A,MATCH('Lookup Sheet'!A76,'US Employee Payroll Cleaned'!G:G,0))</f>
        <v>4534</v>
      </c>
      <c r="D76" s="56" t="str">
        <f>_xlfn.XLOOKUP(A76,'US Employee Payroll Cleaned'!G:G,'US Employee Payroll Cleaned'!H:H,"Not found")</f>
        <v xml:space="preserve"> WEBER, MICHAEL P</v>
      </c>
    </row>
    <row r="77" spans="1:4" x14ac:dyDescent="0.25">
      <c r="A77" s="21" t="s">
        <v>325</v>
      </c>
      <c r="B77" s="12" t="str">
        <f>VLOOKUP(A77,'US Employee Payroll Cleaned'!G:N,2,FALSE)</f>
        <v xml:space="preserve"> WINDMON, HEATHER E</v>
      </c>
      <c r="C77" s="61">
        <f>INDEX('US Employee Payroll Cleaned'!A:A,MATCH('Lookup Sheet'!A77,'US Employee Payroll Cleaned'!G:G,0))</f>
        <v>2206.5</v>
      </c>
      <c r="D77" s="56" t="str">
        <f>_xlfn.XLOOKUP(A77,'US Employee Payroll Cleaned'!G:G,'US Employee Payroll Cleaned'!H:H,"Not found")</f>
        <v xml:space="preserve"> WINDMON, HEATHER E</v>
      </c>
    </row>
    <row r="78" spans="1:4" x14ac:dyDescent="0.25">
      <c r="A78" s="21" t="s">
        <v>330</v>
      </c>
      <c r="B78" s="12" t="str">
        <f>VLOOKUP(A78,'US Employee Payroll Cleaned'!G:N,2,FALSE)</f>
        <v xml:space="preserve"> RADZEVICH, NANCY M</v>
      </c>
      <c r="C78" s="61">
        <f>INDEX('US Employee Payroll Cleaned'!A:A,MATCH('Lookup Sheet'!A78,'US Employee Payroll Cleaned'!G:G,0))</f>
        <v>4579.5</v>
      </c>
      <c r="D78" s="56" t="str">
        <f>_xlfn.XLOOKUP(A78,'US Employee Payroll Cleaned'!G:G,'US Employee Payroll Cleaned'!H:H,"Not found")</f>
        <v xml:space="preserve"> RADZEVICH, NANCY M</v>
      </c>
    </row>
    <row r="79" spans="1:4" x14ac:dyDescent="0.25">
      <c r="A79" s="21" t="s">
        <v>335</v>
      </c>
      <c r="B79" s="12" t="str">
        <f>VLOOKUP(A79,'US Employee Payroll Cleaned'!G:N,2,FALSE)</f>
        <v xml:space="preserve"> RODRIGUEZ, VELIA C</v>
      </c>
      <c r="C79" s="61">
        <f>INDEX('US Employee Payroll Cleaned'!A:A,MATCH('Lookup Sheet'!A79,'US Employee Payroll Cleaned'!G:G,0))</f>
        <v>2828</v>
      </c>
      <c r="D79" s="56" t="str">
        <f>_xlfn.XLOOKUP(A79,'US Employee Payroll Cleaned'!G:G,'US Employee Payroll Cleaned'!H:H,"Not found")</f>
        <v xml:space="preserve"> RODRIGUEZ, VELIA C</v>
      </c>
    </row>
    <row r="80" spans="1:4" x14ac:dyDescent="0.25">
      <c r="A80" s="21" t="s">
        <v>340</v>
      </c>
      <c r="B80" s="12" t="str">
        <f>VLOOKUP(A80,'US Employee Payroll Cleaned'!G:N,2,FALSE)</f>
        <v xml:space="preserve"> GAETA, JOSE O</v>
      </c>
      <c r="C80" s="61">
        <f>INDEX('US Employee Payroll Cleaned'!A:A,MATCH('Lookup Sheet'!A80,'US Employee Payroll Cleaned'!G:G,0))</f>
        <v>4541.5</v>
      </c>
      <c r="D80" s="56" t="str">
        <f>_xlfn.XLOOKUP(A80,'US Employee Payroll Cleaned'!G:G,'US Employee Payroll Cleaned'!H:H,"Not found")</f>
        <v xml:space="preserve"> GAETA, JOSE O</v>
      </c>
    </row>
    <row r="81" spans="1:4" x14ac:dyDescent="0.25">
      <c r="A81" s="21" t="s">
        <v>40</v>
      </c>
      <c r="B81" s="12" t="str">
        <f>VLOOKUP(A81,'US Employee Payroll Cleaned'!G:N,2,FALSE)</f>
        <v xml:space="preserve"> CORPUZ, BENJAMIN A</v>
      </c>
      <c r="C81" s="61">
        <f>INDEX('US Employee Payroll Cleaned'!A:A,MATCH('Lookup Sheet'!A81,'US Employee Payroll Cleaned'!G:G,0))</f>
        <v>3160.5</v>
      </c>
      <c r="D81" s="56" t="str">
        <f>_xlfn.XLOOKUP(A81,'US Employee Payroll Cleaned'!G:G,'US Employee Payroll Cleaned'!H:H,"Not found")</f>
        <v xml:space="preserve"> CORPUZ, BENJAMIN A</v>
      </c>
    </row>
    <row r="82" spans="1:4" x14ac:dyDescent="0.25">
      <c r="A82" s="21" t="s">
        <v>345</v>
      </c>
      <c r="B82" s="12" t="str">
        <f>VLOOKUP(A82,'US Employee Payroll Cleaned'!G:N,2,FALSE)</f>
        <v xml:space="preserve"> ZHENG, CHEN Q</v>
      </c>
      <c r="C82" s="61">
        <f>INDEX('US Employee Payroll Cleaned'!A:A,MATCH('Lookup Sheet'!A82,'US Employee Payroll Cleaned'!G:G,0))</f>
        <v>664.99</v>
      </c>
      <c r="D82" s="56" t="str">
        <f>_xlfn.XLOOKUP(A82,'US Employee Payroll Cleaned'!G:G,'US Employee Payroll Cleaned'!H:H,"Not found")</f>
        <v xml:space="preserve"> ZHENG, CHEN Q</v>
      </c>
    </row>
    <row r="83" spans="1:4" x14ac:dyDescent="0.25">
      <c r="A83" s="21" t="s">
        <v>350</v>
      </c>
      <c r="B83" s="12" t="str">
        <f>VLOOKUP(A83,'US Employee Payroll Cleaned'!G:N,2,FALSE)</f>
        <v xml:space="preserve"> MARTINEZ, SAMIE</v>
      </c>
      <c r="C83" s="61">
        <f>INDEX('US Employee Payroll Cleaned'!A:A,MATCH('Lookup Sheet'!A83,'US Employee Payroll Cleaned'!G:G,0))</f>
        <v>3166.5</v>
      </c>
      <c r="D83" s="56" t="str">
        <f>_xlfn.XLOOKUP(A83,'US Employee Payroll Cleaned'!G:G,'US Employee Payroll Cleaned'!H:H,"Not found")</f>
        <v xml:space="preserve"> MARTINEZ, SAMIE</v>
      </c>
    </row>
    <row r="84" spans="1:4" x14ac:dyDescent="0.25">
      <c r="A84" s="21" t="s">
        <v>354</v>
      </c>
      <c r="B84" s="12" t="str">
        <f>VLOOKUP(A84,'US Employee Payroll Cleaned'!G:N,2,FALSE)</f>
        <v xml:space="preserve"> MURDOCH,  JASON J</v>
      </c>
      <c r="C84" s="61">
        <f>INDEX('US Employee Payroll Cleaned'!A:A,MATCH('Lookup Sheet'!A84,'US Employee Payroll Cleaned'!G:G,0))</f>
        <v>1557.38</v>
      </c>
      <c r="D84" s="56" t="str">
        <f>_xlfn.XLOOKUP(A84,'US Employee Payroll Cleaned'!G:G,'US Employee Payroll Cleaned'!H:H,"Not found")</f>
        <v xml:space="preserve"> MURDOCH,  JASON J</v>
      </c>
    </row>
    <row r="85" spans="1:4" x14ac:dyDescent="0.25">
      <c r="A85" s="21" t="s">
        <v>358</v>
      </c>
      <c r="B85" s="12" t="str">
        <f>VLOOKUP(A85,'US Employee Payroll Cleaned'!G:N,2,FALSE)</f>
        <v xml:space="preserve"> ORTEGA, VICTORIA L</v>
      </c>
      <c r="C85" s="61">
        <f>INDEX('US Employee Payroll Cleaned'!A:A,MATCH('Lookup Sheet'!A85,'US Employee Payroll Cleaned'!G:G,0))</f>
        <v>4330</v>
      </c>
      <c r="D85" s="56" t="str">
        <f>_xlfn.XLOOKUP(A85,'US Employee Payroll Cleaned'!G:G,'US Employee Payroll Cleaned'!H:H,"Not found")</f>
        <v xml:space="preserve"> ORTEGA, VICTORIA L</v>
      </c>
    </row>
    <row r="86" spans="1:4" x14ac:dyDescent="0.25">
      <c r="A86" s="51" t="s">
        <v>111</v>
      </c>
      <c r="B86" s="12" t="str">
        <f>VLOOKUP(A86,'US Employee Payroll Cleaned'!G:N,2,FALSE)</f>
        <v xml:space="preserve"> ROBACK, BRADLEY G</v>
      </c>
      <c r="C86" s="61">
        <f>INDEX('US Employee Payroll Cleaned'!A:A,MATCH('Lookup Sheet'!A86,'US Employee Payroll Cleaned'!G:G,0))</f>
        <v>4536</v>
      </c>
      <c r="D86" s="56" t="str">
        <f>_xlfn.XLOOKUP(A86,'US Employee Payroll Cleaned'!G:G,'US Employee Payroll Cleaned'!H:H,"Not found")</f>
        <v xml:space="preserve"> ROBACK, BRADLEY G</v>
      </c>
    </row>
    <row r="87" spans="1:4" x14ac:dyDescent="0.25">
      <c r="A87" s="21" t="s">
        <v>162</v>
      </c>
      <c r="B87" s="12" t="str">
        <f>VLOOKUP(A87,'US Employee Payroll Cleaned'!G:N,2,FALSE)</f>
        <v xml:space="preserve"> TAYLOR, TYLER H</v>
      </c>
      <c r="C87" s="61">
        <f>INDEX('US Employee Payroll Cleaned'!A:A,MATCH('Lookup Sheet'!A87,'US Employee Payroll Cleaned'!G:G,0))</f>
        <v>2934.5</v>
      </c>
      <c r="D87" s="56" t="str">
        <f>_xlfn.XLOOKUP(A87,'US Employee Payroll Cleaned'!G:G,'US Employee Payroll Cleaned'!H:H,"Not found")</f>
        <v xml:space="preserve"> TAYLOR, TYLER H</v>
      </c>
    </row>
    <row r="88" spans="1:4" x14ac:dyDescent="0.25">
      <c r="A88" s="21" t="s">
        <v>258</v>
      </c>
      <c r="B88" s="12" t="str">
        <f>VLOOKUP(A88,'US Employee Payroll Cleaned'!G:N,2,FALSE)</f>
        <v xml:space="preserve"> MUNGIN, WHITNI E</v>
      </c>
      <c r="C88" s="61">
        <f>INDEX('US Employee Payroll Cleaned'!A:A,MATCH('Lookup Sheet'!A88,'US Employee Payroll Cleaned'!G:G,0))</f>
        <v>4229.5</v>
      </c>
      <c r="D88" s="56" t="str">
        <f>_xlfn.XLOOKUP(A88,'US Employee Payroll Cleaned'!G:G,'US Employee Payroll Cleaned'!H:H,"Not found")</f>
        <v xml:space="preserve"> MUNGIN, WHITNI E</v>
      </c>
    </row>
    <row r="89" spans="1:4" x14ac:dyDescent="0.25">
      <c r="A89" s="21" t="s">
        <v>181</v>
      </c>
      <c r="B89" s="12" t="str">
        <f>VLOOKUP(A89,'US Employee Payroll Cleaned'!G:N,2,FALSE)</f>
        <v xml:space="preserve"> HAMILTON, NATASHA A</v>
      </c>
      <c r="C89" s="61">
        <f>INDEX('US Employee Payroll Cleaned'!A:A,MATCH('Lookup Sheet'!A89,'US Employee Payroll Cleaned'!G:G,0))</f>
        <v>6111.5</v>
      </c>
      <c r="D89" s="56" t="str">
        <f>_xlfn.XLOOKUP(A89,'US Employee Payroll Cleaned'!G:G,'US Employee Payroll Cleaned'!H:H,"Not found")</f>
        <v xml:space="preserve"> HAMILTON, NATASHA A</v>
      </c>
    </row>
    <row r="90" spans="1:4" x14ac:dyDescent="0.25">
      <c r="A90" s="21" t="s">
        <v>69</v>
      </c>
      <c r="B90" s="12" t="str">
        <f>VLOOKUP(A90,'US Employee Payroll Cleaned'!G:N,2,FALSE)</f>
        <v xml:space="preserve"> BUDNIK, ALESSANDRA C</v>
      </c>
      <c r="C90" s="61">
        <f>INDEX('US Employee Payroll Cleaned'!A:A,MATCH('Lookup Sheet'!A90,'US Employee Payroll Cleaned'!G:G,0))</f>
        <v>5212</v>
      </c>
      <c r="D90" s="56" t="str">
        <f>_xlfn.XLOOKUP(A90,'US Employee Payroll Cleaned'!G:G,'US Employee Payroll Cleaned'!H:H,"Not found")</f>
        <v xml:space="preserve"> BUDNIK, ALESSANDRA C</v>
      </c>
    </row>
    <row r="91" spans="1:4" x14ac:dyDescent="0.25">
      <c r="A91" s="21" t="s">
        <v>224</v>
      </c>
      <c r="B91" s="12" t="str">
        <f>VLOOKUP(A91,'US Employee Payroll Cleaned'!G:N,2,FALSE)</f>
        <v xml:space="preserve"> JOHNSON, AARON M</v>
      </c>
      <c r="C91" s="61">
        <f>INDEX('US Employee Payroll Cleaned'!A:A,MATCH('Lookup Sheet'!A91,'US Employee Payroll Cleaned'!G:G,0))</f>
        <v>4064.5</v>
      </c>
      <c r="D91" s="56" t="str">
        <f>_xlfn.XLOOKUP(A91,'US Employee Payroll Cleaned'!G:G,'US Employee Payroll Cleaned'!H:H,"Not found")</f>
        <v xml:space="preserve"> JOHNSON, AARON M</v>
      </c>
    </row>
    <row r="92" spans="1:4" x14ac:dyDescent="0.25">
      <c r="A92" s="21" t="s">
        <v>229</v>
      </c>
      <c r="B92" s="12" t="str">
        <f>VLOOKUP(A92,'US Employee Payroll Cleaned'!G:N,2,FALSE)</f>
        <v xml:space="preserve"> DURHAM, DESTINY L</v>
      </c>
      <c r="C92" s="61">
        <f>INDEX('US Employee Payroll Cleaned'!A:A,MATCH('Lookup Sheet'!A92,'US Employee Payroll Cleaned'!G:G,0))</f>
        <v>4229.5</v>
      </c>
      <c r="D92" s="56" t="str">
        <f>_xlfn.XLOOKUP(A92,'US Employee Payroll Cleaned'!G:G,'US Employee Payroll Cleaned'!H:H,"Not found")</f>
        <v xml:space="preserve"> DURHAM, DESTINY L</v>
      </c>
    </row>
    <row r="93" spans="1:4" x14ac:dyDescent="0.25">
      <c r="A93" s="21" t="s">
        <v>93</v>
      </c>
      <c r="B93" s="12" t="str">
        <f>VLOOKUP(A93,'US Employee Payroll Cleaned'!G:N,2,FALSE)</f>
        <v xml:space="preserve"> NELSON, GABRIELLA M</v>
      </c>
      <c r="C93" s="61">
        <f>INDEX('US Employee Payroll Cleaned'!A:A,MATCH('Lookup Sheet'!A93,'US Employee Payroll Cleaned'!G:G,0))</f>
        <v>3607.5</v>
      </c>
      <c r="D93" s="56" t="str">
        <f>_xlfn.XLOOKUP(A93,'US Employee Payroll Cleaned'!G:G,'US Employee Payroll Cleaned'!H:H,"Not found")</f>
        <v xml:space="preserve"> NELSON, GABRIELLA M</v>
      </c>
    </row>
    <row r="94" spans="1:4" x14ac:dyDescent="0.25">
      <c r="A94" s="21" t="s">
        <v>197</v>
      </c>
      <c r="B94" s="12" t="str">
        <f>VLOOKUP(A94,'US Employee Payroll Cleaned'!G:N,2,FALSE)</f>
        <v xml:space="preserve"> LIANG, SUNNY S</v>
      </c>
      <c r="C94" s="61">
        <f>INDEX('US Employee Payroll Cleaned'!A:A,MATCH('Lookup Sheet'!A94,'US Employee Payroll Cleaned'!G:G,0))</f>
        <v>3095</v>
      </c>
      <c r="D94" s="56" t="str">
        <f>_xlfn.XLOOKUP(A94,'US Employee Payroll Cleaned'!G:G,'US Employee Payroll Cleaned'!H:H,"Not found")</f>
        <v xml:space="preserve"> LIANG, SUNNY S</v>
      </c>
    </row>
    <row r="95" spans="1:4" x14ac:dyDescent="0.25">
      <c r="A95" s="21" t="s">
        <v>372</v>
      </c>
      <c r="B95" s="12" t="str">
        <f>VLOOKUP(A95,'US Employee Payroll Cleaned'!G:N,2,FALSE)</f>
        <v xml:space="preserve"> BARTLETT, KYLE W</v>
      </c>
      <c r="C95" s="61">
        <f>INDEX('US Employee Payroll Cleaned'!A:A,MATCH('Lookup Sheet'!A95,'US Employee Payroll Cleaned'!G:G,0))</f>
        <v>4534</v>
      </c>
      <c r="D95" s="56" t="str">
        <f>_xlfn.XLOOKUP(A95,'US Employee Payroll Cleaned'!G:G,'US Employee Payroll Cleaned'!H:H,"Not found")</f>
        <v xml:space="preserve"> BARTLETT, KYLE W</v>
      </c>
    </row>
    <row r="96" spans="1:4" x14ac:dyDescent="0.25">
      <c r="A96" s="21" t="s">
        <v>376</v>
      </c>
      <c r="B96" s="12" t="str">
        <f>VLOOKUP(A96,'US Employee Payroll Cleaned'!G:N,2,FALSE)</f>
        <v xml:space="preserve"> HILL, JANICE D</v>
      </c>
      <c r="C96" s="61">
        <f>INDEX('US Employee Payroll Cleaned'!A:A,MATCH('Lookup Sheet'!A96,'US Employee Payroll Cleaned'!G:G,0))</f>
        <v>4280.5</v>
      </c>
      <c r="D96" s="56" t="str">
        <f>_xlfn.XLOOKUP(A96,'US Employee Payroll Cleaned'!G:G,'US Employee Payroll Cleaned'!H:H,"Not found")</f>
        <v xml:space="preserve"> HILL, JANICE D</v>
      </c>
    </row>
    <row r="97" spans="1:4" x14ac:dyDescent="0.25">
      <c r="A97" s="21" t="s">
        <v>379</v>
      </c>
      <c r="B97" s="12" t="str">
        <f>VLOOKUP(A97,'US Employee Payroll Cleaned'!G:N,2,FALSE)</f>
        <v xml:space="preserve"> VELAZQUEZ, JEANETTE</v>
      </c>
      <c r="C97" s="61">
        <f>INDEX('US Employee Payroll Cleaned'!A:A,MATCH('Lookup Sheet'!A97,'US Employee Payroll Cleaned'!G:G,0))</f>
        <v>3166.5</v>
      </c>
      <c r="D97" s="56" t="str">
        <f>_xlfn.XLOOKUP(A97,'US Employee Payroll Cleaned'!G:G,'US Employee Payroll Cleaned'!H:H,"Not found")</f>
        <v xml:space="preserve"> VELAZQUEZ, JEANETTE</v>
      </c>
    </row>
    <row r="98" spans="1:4" x14ac:dyDescent="0.25">
      <c r="A98" s="21" t="s">
        <v>383</v>
      </c>
      <c r="B98" s="12" t="str">
        <f>VLOOKUP(A98,'US Employee Payroll Cleaned'!G:N,2,FALSE)</f>
        <v xml:space="preserve"> CURRY, NORA</v>
      </c>
      <c r="C98" s="61">
        <f>INDEX('US Employee Payroll Cleaned'!A:A,MATCH('Lookup Sheet'!A98,'US Employee Payroll Cleaned'!G:G,0))</f>
        <v>5212</v>
      </c>
      <c r="D98" s="56" t="str">
        <f>_xlfn.XLOOKUP(A98,'US Employee Payroll Cleaned'!G:G,'US Employee Payroll Cleaned'!H:H,"Not found")</f>
        <v xml:space="preserve"> CURRY, NORA</v>
      </c>
    </row>
    <row r="99" spans="1:4" x14ac:dyDescent="0.25">
      <c r="A99" s="21" t="s">
        <v>387</v>
      </c>
      <c r="B99" s="12" t="str">
        <f>VLOOKUP(A99,'US Employee Payroll Cleaned'!G:N,2,FALSE)</f>
        <v xml:space="preserve"> RAMOS, JOYCE I</v>
      </c>
      <c r="C99" s="61">
        <f>INDEX('US Employee Payroll Cleaned'!A:A,MATCH('Lookup Sheet'!A99,'US Employee Payroll Cleaned'!G:G,0))</f>
        <v>3340.5</v>
      </c>
      <c r="D99" s="56" t="str">
        <f>_xlfn.XLOOKUP(A99,'US Employee Payroll Cleaned'!G:G,'US Employee Payroll Cleaned'!H:H,"Not found")</f>
        <v xml:space="preserve"> RAMOS, JOYCE I</v>
      </c>
    </row>
    <row r="100" spans="1:4" x14ac:dyDescent="0.25">
      <c r="A100" s="21" t="s">
        <v>390</v>
      </c>
      <c r="B100" s="12" t="str">
        <f>VLOOKUP(A100,'US Employee Payroll Cleaned'!G:N,2,FALSE)</f>
        <v xml:space="preserve"> GARCIA, GERARDO</v>
      </c>
      <c r="C100" s="61">
        <f>INDEX('US Employee Payroll Cleaned'!A:A,MATCH('Lookup Sheet'!A100,'US Employee Payroll Cleaned'!G:G,0))</f>
        <v>5317</v>
      </c>
      <c r="D100" s="56" t="str">
        <f>_xlfn.XLOOKUP(A100,'US Employee Payroll Cleaned'!G:G,'US Employee Payroll Cleaned'!H:H,"Not found")</f>
        <v xml:space="preserve"> GARCIA, GERARDO</v>
      </c>
    </row>
    <row r="101" spans="1:4" x14ac:dyDescent="0.25">
      <c r="A101" s="21" t="s">
        <v>224</v>
      </c>
      <c r="B101" s="12" t="str">
        <f>VLOOKUP(A101,'US Employee Payroll Cleaned'!G:N,2,FALSE)</f>
        <v xml:space="preserve"> JOHNSON, AARON M</v>
      </c>
      <c r="C101" s="61">
        <f>INDEX('US Employee Payroll Cleaned'!A:A,MATCH('Lookup Sheet'!A101,'US Employee Payroll Cleaned'!G:G,0))</f>
        <v>4064.5</v>
      </c>
      <c r="D101" s="56" t="str">
        <f>_xlfn.XLOOKUP(A101,'US Employee Payroll Cleaned'!G:G,'US Employee Payroll Cleaned'!H:H,"Not found")</f>
        <v xml:space="preserve"> JOHNSON, AARON M</v>
      </c>
    </row>
    <row r="102" spans="1:4" x14ac:dyDescent="0.25">
      <c r="A102" s="21" t="s">
        <v>99</v>
      </c>
      <c r="B102" s="12" t="str">
        <f>VLOOKUP(A102,'US Employee Payroll Cleaned'!G:N,2,FALSE)</f>
        <v xml:space="preserve"> HERTZ, DANIEL K</v>
      </c>
      <c r="C102" s="61">
        <f>INDEX('US Employee Payroll Cleaned'!A:A,MATCH('Lookup Sheet'!A102,'US Employee Payroll Cleaned'!G:G,0))</f>
        <v>4766</v>
      </c>
      <c r="D102" s="56" t="str">
        <f>_xlfn.XLOOKUP(A102,'US Employee Payroll Cleaned'!G:G,'US Employee Payroll Cleaned'!H:H,"Not found")</f>
        <v xml:space="preserve"> HERTZ, DANIEL K</v>
      </c>
    </row>
    <row r="103" spans="1:4" x14ac:dyDescent="0.25">
      <c r="A103" s="21" t="s">
        <v>187</v>
      </c>
      <c r="B103" s="12" t="str">
        <f>VLOOKUP(A103,'US Employee Payroll Cleaned'!G:N,2,FALSE)</f>
        <v xml:space="preserve"> MCKEE, ZACHARIA G</v>
      </c>
      <c r="C103" s="61">
        <f>INDEX('US Employee Payroll Cleaned'!A:A,MATCH('Lookup Sheet'!A103,'US Employee Payroll Cleaned'!G:G,0))</f>
        <v>546.70000000000005</v>
      </c>
      <c r="D103" s="56" t="str">
        <f>_xlfn.XLOOKUP(A103,'US Employee Payroll Cleaned'!G:G,'US Employee Payroll Cleaned'!H:H,"Not found")</f>
        <v xml:space="preserve"> MCKEE, ZACHARIA G</v>
      </c>
    </row>
    <row r="104" spans="1:4" x14ac:dyDescent="0.25">
      <c r="A104" s="21" t="s">
        <v>202</v>
      </c>
      <c r="B104" s="12" t="str">
        <f>VLOOKUP(A104,'US Employee Payroll Cleaned'!G:N,2,FALSE)</f>
        <v xml:space="preserve"> MORGAN, LASHONDA L</v>
      </c>
      <c r="C104" s="61">
        <f>INDEX('US Employee Payroll Cleaned'!A:A,MATCH('Lookup Sheet'!A104,'US Employee Payroll Cleaned'!G:G,0))</f>
        <v>3394.5</v>
      </c>
      <c r="D104" s="56" t="str">
        <f>_xlfn.XLOOKUP(A104,'US Employee Payroll Cleaned'!G:G,'US Employee Payroll Cleaned'!H:H,"Not found")</f>
        <v xml:space="preserve"> MORGAN, LASHONDA L</v>
      </c>
    </row>
    <row r="105" spans="1:4" x14ac:dyDescent="0.25">
      <c r="A105" s="21" t="s">
        <v>399</v>
      </c>
      <c r="B105" s="12" t="str">
        <f>VLOOKUP(A105,'US Employee Payroll Cleaned'!G:N,2,FALSE)</f>
        <v xml:space="preserve"> PENA, ANTONIO G</v>
      </c>
      <c r="C105" s="61">
        <f>INDEX('US Employee Payroll Cleaned'!A:A,MATCH('Lookup Sheet'!A105,'US Employee Payroll Cleaned'!G:G,0))</f>
        <v>2665.5</v>
      </c>
      <c r="D105" s="56" t="str">
        <f>_xlfn.XLOOKUP(A105,'US Employee Payroll Cleaned'!G:G,'US Employee Payroll Cleaned'!H:H,"Not found")</f>
        <v xml:space="preserve"> PENA, ANTONIO G</v>
      </c>
    </row>
    <row r="106" spans="1:4" x14ac:dyDescent="0.25">
      <c r="A106" s="21" t="s">
        <v>376</v>
      </c>
      <c r="B106" s="12" t="str">
        <f>VLOOKUP(A106,'US Employee Payroll Cleaned'!G:N,2,FALSE)</f>
        <v xml:space="preserve"> HILL, JANICE D</v>
      </c>
      <c r="C106" s="61">
        <f>INDEX('US Employee Payroll Cleaned'!A:A,MATCH('Lookup Sheet'!A106,'US Employee Payroll Cleaned'!G:G,0))</f>
        <v>4280.5</v>
      </c>
      <c r="D106" s="56" t="str">
        <f>_xlfn.XLOOKUP(A106,'US Employee Payroll Cleaned'!G:G,'US Employee Payroll Cleaned'!H:H,"Not found")</f>
        <v xml:space="preserve"> HILL, JANICE D</v>
      </c>
    </row>
    <row r="107" spans="1:4" x14ac:dyDescent="0.25">
      <c r="A107" s="21" t="s">
        <v>40</v>
      </c>
      <c r="B107" s="12" t="str">
        <f>VLOOKUP(A107,'US Employee Payroll Cleaned'!G:N,2,FALSE)</f>
        <v xml:space="preserve"> CORPUZ, BENJAMIN A</v>
      </c>
      <c r="C107" s="61">
        <f>INDEX('US Employee Payroll Cleaned'!A:A,MATCH('Lookup Sheet'!A107,'US Employee Payroll Cleaned'!G:G,0))</f>
        <v>3160.5</v>
      </c>
      <c r="D107" s="56" t="str">
        <f>_xlfn.XLOOKUP(A107,'US Employee Payroll Cleaned'!G:G,'US Employee Payroll Cleaned'!H:H,"Not found")</f>
        <v xml:space="preserve"> CORPUZ, BENJAMIN A</v>
      </c>
    </row>
    <row r="108" spans="1:4" x14ac:dyDescent="0.25">
      <c r="A108" s="21" t="s">
        <v>105</v>
      </c>
      <c r="B108" s="12" t="str">
        <f>VLOOKUP(A108,'US Employee Payroll Cleaned'!G:N,2,FALSE)</f>
        <v xml:space="preserve"> THOMPSON, TAYLOR J</v>
      </c>
      <c r="C108" s="61">
        <f>INDEX('US Employee Payroll Cleaned'!A:A,MATCH('Lookup Sheet'!A108,'US Employee Payroll Cleaned'!G:G,0))</f>
        <v>2708</v>
      </c>
      <c r="D108" s="56" t="str">
        <f>_xlfn.XLOOKUP(A108,'US Employee Payroll Cleaned'!G:G,'US Employee Payroll Cleaned'!H:H,"Not found")</f>
        <v xml:space="preserve"> THOMPSON, TAYLOR J</v>
      </c>
    </row>
    <row r="109" spans="1:4" x14ac:dyDescent="0.25">
      <c r="A109" s="21" t="s">
        <v>406</v>
      </c>
      <c r="B109" s="12" t="str">
        <f>VLOOKUP(A109,'US Employee Payroll Cleaned'!G:N,2,FALSE)</f>
        <v xml:space="preserve"> MICHAELS, JAMES</v>
      </c>
      <c r="C109" s="61">
        <f>INDEX('US Employee Payroll Cleaned'!A:A,MATCH('Lookup Sheet'!A109,'US Employee Payroll Cleaned'!G:G,0))</f>
        <v>3360.5</v>
      </c>
      <c r="D109" s="56" t="str">
        <f>_xlfn.XLOOKUP(A109,'US Employee Payroll Cleaned'!G:G,'US Employee Payroll Cleaned'!H:H,"Not found")</f>
        <v xml:space="preserve"> MICHAELS, JAMES</v>
      </c>
    </row>
    <row r="110" spans="1:4" x14ac:dyDescent="0.25">
      <c r="A110" s="21" t="s">
        <v>218</v>
      </c>
      <c r="B110" s="12" t="str">
        <f>VLOOKUP(A110,'US Employee Payroll Cleaned'!G:N,2,FALSE)</f>
        <v xml:space="preserve"> MUHAMMAD, FARIDUDDIN M</v>
      </c>
      <c r="C110" s="61">
        <f>INDEX('US Employee Payroll Cleaned'!A:A,MATCH('Lookup Sheet'!A110,'US Employee Payroll Cleaned'!G:G,0))</f>
        <v>3245.5</v>
      </c>
      <c r="D110" s="56" t="str">
        <f>_xlfn.XLOOKUP(A110,'US Employee Payroll Cleaned'!G:G,'US Employee Payroll Cleaned'!H:H,"Not found")</f>
        <v xml:space="preserve"> MUHAMMAD, FARIDUDDIN M</v>
      </c>
    </row>
    <row r="111" spans="1:4" x14ac:dyDescent="0.25">
      <c r="A111" s="21" t="s">
        <v>390</v>
      </c>
      <c r="B111" s="12" t="str">
        <f>VLOOKUP(A111,'US Employee Payroll Cleaned'!G:N,2,FALSE)</f>
        <v xml:space="preserve"> GARCIA, GERARDO</v>
      </c>
      <c r="C111" s="61">
        <f>INDEX('US Employee Payroll Cleaned'!A:A,MATCH('Lookup Sheet'!A111,'US Employee Payroll Cleaned'!G:G,0))</f>
        <v>5317</v>
      </c>
      <c r="D111" s="56" t="str">
        <f>_xlfn.XLOOKUP(A111,'US Employee Payroll Cleaned'!G:G,'US Employee Payroll Cleaned'!H:H,"Not found")</f>
        <v xml:space="preserve"> GARCIA, GERARDO</v>
      </c>
    </row>
    <row r="112" spans="1:4" x14ac:dyDescent="0.25">
      <c r="A112" s="21" t="s">
        <v>412</v>
      </c>
      <c r="B112" s="12" t="str">
        <f>VLOOKUP(A112,'US Employee Payroll Cleaned'!G:N,2,FALSE)</f>
        <v xml:space="preserve"> WHEATEN, KEISHA J</v>
      </c>
      <c r="C112" s="61">
        <f>INDEX('US Employee Payroll Cleaned'!A:A,MATCH('Lookup Sheet'!A112,'US Employee Payroll Cleaned'!G:G,0))</f>
        <v>3467</v>
      </c>
      <c r="D112" s="56" t="str">
        <f>_xlfn.XLOOKUP(A112,'US Employee Payroll Cleaned'!G:G,'US Employee Payroll Cleaned'!H:H,"Not found")</f>
        <v xml:space="preserve"> WHEATEN, KEISHA J</v>
      </c>
    </row>
    <row r="113" spans="1:4" x14ac:dyDescent="0.25">
      <c r="A113" s="21" t="s">
        <v>416</v>
      </c>
      <c r="B113" s="12" t="str">
        <f>VLOOKUP(A113,'US Employee Payroll Cleaned'!G:N,2,FALSE)</f>
        <v xml:space="preserve"> O'BRIEN, JACK F</v>
      </c>
      <c r="C113" s="61">
        <f>INDEX('US Employee Payroll Cleaned'!A:A,MATCH('Lookup Sheet'!A113,'US Employee Payroll Cleaned'!G:G,0))</f>
        <v>365.75</v>
      </c>
      <c r="D113" s="56" t="str">
        <f>_xlfn.XLOOKUP(A113,'US Employee Payroll Cleaned'!G:G,'US Employee Payroll Cleaned'!H:H,"Not found")</f>
        <v xml:space="preserve"> O'BRIEN, JACK F</v>
      </c>
    </row>
    <row r="114" spans="1:4" x14ac:dyDescent="0.25">
      <c r="A114" s="21" t="s">
        <v>40</v>
      </c>
      <c r="B114" s="12" t="str">
        <f>VLOOKUP(A114,'US Employee Payroll Cleaned'!G:N,2,FALSE)</f>
        <v xml:space="preserve"> CORPUZ, BENJAMIN A</v>
      </c>
      <c r="C114" s="61">
        <f>INDEX('US Employee Payroll Cleaned'!A:A,MATCH('Lookup Sheet'!A114,'US Employee Payroll Cleaned'!G:G,0))</f>
        <v>3160.5</v>
      </c>
      <c r="D114" s="56" t="str">
        <f>_xlfn.XLOOKUP(A114,'US Employee Payroll Cleaned'!G:G,'US Employee Payroll Cleaned'!H:H,"Not found")</f>
        <v xml:space="preserve"> CORPUZ, BENJAMIN A</v>
      </c>
    </row>
    <row r="115" spans="1:4" x14ac:dyDescent="0.25">
      <c r="A115" s="21" t="s">
        <v>420</v>
      </c>
      <c r="B115" s="12" t="str">
        <f>VLOOKUP(A115,'US Employee Payroll Cleaned'!G:N,2,FALSE)</f>
        <v xml:space="preserve"> PLOMIN, KALPANA S</v>
      </c>
      <c r="C115" s="61">
        <f>INDEX('US Employee Payroll Cleaned'!A:A,MATCH('Lookup Sheet'!A115,'US Employee Payroll Cleaned'!G:G,0))</f>
        <v>5816.5</v>
      </c>
      <c r="D115" s="56" t="str">
        <f>_xlfn.XLOOKUP(A115,'US Employee Payroll Cleaned'!G:G,'US Employee Payroll Cleaned'!H:H,"Not found")</f>
        <v xml:space="preserve"> PLOMIN, KALPANA S</v>
      </c>
    </row>
    <row r="116" spans="1:4" x14ac:dyDescent="0.25">
      <c r="A116" s="21" t="s">
        <v>423</v>
      </c>
      <c r="B116" s="12" t="str">
        <f>VLOOKUP(A116,'US Employee Payroll Cleaned'!G:N,2,FALSE)</f>
        <v xml:space="preserve"> O'CONNOR, STEPHANIE K</v>
      </c>
      <c r="C116" s="61">
        <f>INDEX('US Employee Payroll Cleaned'!A:A,MATCH('Lookup Sheet'!A116,'US Employee Payroll Cleaned'!G:G,0))</f>
        <v>3467</v>
      </c>
      <c r="D116" s="56" t="str">
        <f>_xlfn.XLOOKUP(A116,'US Employee Payroll Cleaned'!G:G,'US Employee Payroll Cleaned'!H:H,"Not found")</f>
        <v xml:space="preserve"> O'CONNOR, STEPHANIE K</v>
      </c>
    </row>
    <row r="117" spans="1:4" x14ac:dyDescent="0.25">
      <c r="A117" s="21" t="s">
        <v>412</v>
      </c>
      <c r="B117" s="12" t="str">
        <f>VLOOKUP(A117,'US Employee Payroll Cleaned'!G:N,2,FALSE)</f>
        <v xml:space="preserve"> WHEATEN, KEISHA J</v>
      </c>
      <c r="C117" s="61">
        <f>INDEX('US Employee Payroll Cleaned'!A:A,MATCH('Lookup Sheet'!A117,'US Employee Payroll Cleaned'!G:G,0))</f>
        <v>3467</v>
      </c>
      <c r="D117" s="56" t="str">
        <f>_xlfn.XLOOKUP(A117,'US Employee Payroll Cleaned'!G:G,'US Employee Payroll Cleaned'!H:H,"Not found")</f>
        <v xml:space="preserve"> WHEATEN, KEISHA J</v>
      </c>
    </row>
    <row r="118" spans="1:4" x14ac:dyDescent="0.25">
      <c r="A118" s="21" t="s">
        <v>258</v>
      </c>
      <c r="B118" s="12" t="str">
        <f>VLOOKUP(A118,'US Employee Payroll Cleaned'!G:N,2,FALSE)</f>
        <v xml:space="preserve"> MUNGIN, WHITNI E</v>
      </c>
      <c r="C118" s="61">
        <f>INDEX('US Employee Payroll Cleaned'!A:A,MATCH('Lookup Sheet'!A118,'US Employee Payroll Cleaned'!G:G,0))</f>
        <v>4229.5</v>
      </c>
      <c r="D118" s="56" t="str">
        <f>_xlfn.XLOOKUP(A118,'US Employee Payroll Cleaned'!G:G,'US Employee Payroll Cleaned'!H:H,"Not found")</f>
        <v xml:space="preserve"> MUNGIN, WHITNI E</v>
      </c>
    </row>
    <row r="119" spans="1:4" x14ac:dyDescent="0.25">
      <c r="A119" s="21" t="s">
        <v>93</v>
      </c>
      <c r="B119" s="12" t="str">
        <f>VLOOKUP(A119,'US Employee Payroll Cleaned'!G:N,2,FALSE)</f>
        <v xml:space="preserve"> NELSON, GABRIELLA M</v>
      </c>
      <c r="C119" s="61">
        <f>INDEX('US Employee Payroll Cleaned'!A:A,MATCH('Lookup Sheet'!A119,'US Employee Payroll Cleaned'!G:G,0))</f>
        <v>3607.5</v>
      </c>
      <c r="D119" s="56" t="str">
        <f>_xlfn.XLOOKUP(A119,'US Employee Payroll Cleaned'!G:G,'US Employee Payroll Cleaned'!H:H,"Not found")</f>
        <v xml:space="preserve"> NELSON, GABRIELLA M</v>
      </c>
    </row>
    <row r="120" spans="1:4" x14ac:dyDescent="0.25">
      <c r="A120" s="21" t="s">
        <v>99</v>
      </c>
      <c r="B120" s="12" t="str">
        <f>VLOOKUP(A120,'US Employee Payroll Cleaned'!G:N,2,FALSE)</f>
        <v xml:space="preserve"> HERTZ, DANIEL K</v>
      </c>
      <c r="C120" s="61">
        <f>INDEX('US Employee Payroll Cleaned'!A:A,MATCH('Lookup Sheet'!A120,'US Employee Payroll Cleaned'!G:G,0))</f>
        <v>4766</v>
      </c>
      <c r="D120" s="56" t="str">
        <f>_xlfn.XLOOKUP(A120,'US Employee Payroll Cleaned'!G:G,'US Employee Payroll Cleaned'!H:H,"Not found")</f>
        <v xml:space="preserve"> HERTZ, DANIEL K</v>
      </c>
    </row>
    <row r="121" spans="1:4" x14ac:dyDescent="0.25">
      <c r="A121" s="21" t="s">
        <v>376</v>
      </c>
      <c r="B121" s="12" t="str">
        <f>VLOOKUP(A121,'US Employee Payroll Cleaned'!G:N,2,FALSE)</f>
        <v xml:space="preserve"> HILL, JANICE D</v>
      </c>
      <c r="C121" s="61">
        <f>INDEX('US Employee Payroll Cleaned'!A:A,MATCH('Lookup Sheet'!A121,'US Employee Payroll Cleaned'!G:G,0))</f>
        <v>4280.5</v>
      </c>
      <c r="D121" s="56" t="str">
        <f>_xlfn.XLOOKUP(A121,'US Employee Payroll Cleaned'!G:G,'US Employee Payroll Cleaned'!H:H,"Not found")</f>
        <v xml:space="preserve"> HILL, JANICE D</v>
      </c>
    </row>
    <row r="122" spans="1:4" x14ac:dyDescent="0.25">
      <c r="A122" s="21" t="s">
        <v>213</v>
      </c>
      <c r="B122" s="12" t="str">
        <f>VLOOKUP(A122,'US Employee Payroll Cleaned'!G:N,2,FALSE)</f>
        <v xml:space="preserve"> HOLLAND, WILLIAM R</v>
      </c>
      <c r="C122" s="61">
        <f>INDEX('US Employee Payroll Cleaned'!A:A,MATCH('Lookup Sheet'!A122,'US Employee Payroll Cleaned'!G:G,0))</f>
        <v>3250</v>
      </c>
      <c r="D122" s="56" t="str">
        <f>_xlfn.XLOOKUP(A122,'US Employee Payroll Cleaned'!G:G,'US Employee Payroll Cleaned'!H:H,"Not found")</f>
        <v xml:space="preserve"> HOLLAND, WILLIAM R</v>
      </c>
    </row>
    <row r="123" spans="1:4" x14ac:dyDescent="0.25">
      <c r="A123" s="21" t="s">
        <v>432</v>
      </c>
      <c r="B123" s="12" t="str">
        <f>VLOOKUP(A123,'US Employee Payroll Cleaned'!G:N,2,FALSE)</f>
        <v xml:space="preserve"> RHYMES, MICHELE A</v>
      </c>
      <c r="C123" s="61">
        <f>INDEX('US Employee Payroll Cleaned'!A:A,MATCH('Lookup Sheet'!A123,'US Employee Payroll Cleaned'!G:G,0))</f>
        <v>4274</v>
      </c>
      <c r="D123" s="56" t="str">
        <f>_xlfn.XLOOKUP(A123,'US Employee Payroll Cleaned'!G:G,'US Employee Payroll Cleaned'!H:H,"Not found")</f>
        <v xml:space="preserve"> RHYMES, MICHELE A</v>
      </c>
    </row>
    <row r="124" spans="1:4" x14ac:dyDescent="0.25">
      <c r="A124" s="21" t="s">
        <v>315</v>
      </c>
      <c r="B124" s="12" t="str">
        <f>VLOOKUP(A124,'US Employee Payroll Cleaned'!G:N,2,FALSE)</f>
        <v xml:space="preserve"> KLAIBER, DANIEL R</v>
      </c>
      <c r="C124" s="61">
        <f>INDEX('US Employee Payroll Cleaned'!A:A,MATCH('Lookup Sheet'!A124,'US Employee Payroll Cleaned'!G:G,0))</f>
        <v>4444.5</v>
      </c>
      <c r="D124" s="56" t="str">
        <f>_xlfn.XLOOKUP(A124,'US Employee Payroll Cleaned'!G:G,'US Employee Payroll Cleaned'!H:H,"Not found")</f>
        <v xml:space="preserve"> KLAIBER, DANIEL R</v>
      </c>
    </row>
    <row r="125" spans="1:4" x14ac:dyDescent="0.25">
      <c r="A125" s="21" t="s">
        <v>436</v>
      </c>
      <c r="B125" s="12" t="str">
        <f>VLOOKUP(A125,'US Employee Payroll Cleaned'!G:N,2,FALSE)</f>
        <v xml:space="preserve"> MASON JOHNSON, CHRISTINA</v>
      </c>
      <c r="C125" s="61">
        <f>INDEX('US Employee Payroll Cleaned'!A:A,MATCH('Lookup Sheet'!A125,'US Employee Payroll Cleaned'!G:G,0))</f>
        <v>3166.5</v>
      </c>
      <c r="D125" s="56" t="str">
        <f>_xlfn.XLOOKUP(A125,'US Employee Payroll Cleaned'!G:G,'US Employee Payroll Cleaned'!H:H,"Not found")</f>
        <v xml:space="preserve"> MASON JOHNSON, CHRISTINA</v>
      </c>
    </row>
    <row r="126" spans="1:4" x14ac:dyDescent="0.25">
      <c r="A126" s="21" t="s">
        <v>247</v>
      </c>
      <c r="B126" s="12" t="str">
        <f>VLOOKUP(A126,'US Employee Payroll Cleaned'!G:N,2,FALSE)</f>
        <v xml:space="preserve"> GUSTAFSON, MEG E</v>
      </c>
      <c r="C126" s="61">
        <f>INDEX('US Employee Payroll Cleaned'!A:A,MATCH('Lookup Sheet'!A126,'US Employee Payroll Cleaned'!G:G,0))</f>
        <v>3946</v>
      </c>
      <c r="D126" s="56" t="str">
        <f>_xlfn.XLOOKUP(A126,'US Employee Payroll Cleaned'!G:G,'US Employee Payroll Cleaned'!H:H,"Not found")</f>
        <v xml:space="preserve"> GUSTAFSON, MEG E</v>
      </c>
    </row>
    <row r="127" spans="1:4" x14ac:dyDescent="0.25">
      <c r="A127" s="21" t="s">
        <v>390</v>
      </c>
      <c r="B127" s="12" t="str">
        <f>VLOOKUP(A127,'US Employee Payroll Cleaned'!G:N,2,FALSE)</f>
        <v xml:space="preserve"> GARCIA, GERARDO</v>
      </c>
      <c r="C127" s="61">
        <f>INDEX('US Employee Payroll Cleaned'!A:A,MATCH('Lookup Sheet'!A127,'US Employee Payroll Cleaned'!G:G,0))</f>
        <v>5317</v>
      </c>
      <c r="D127" s="56" t="str">
        <f>_xlfn.XLOOKUP(A127,'US Employee Payroll Cleaned'!G:G,'US Employee Payroll Cleaned'!H:H,"Not found")</f>
        <v xml:space="preserve"> GARCIA, GERARDO</v>
      </c>
    </row>
    <row r="128" spans="1:4" x14ac:dyDescent="0.25">
      <c r="A128" s="21" t="s">
        <v>224</v>
      </c>
      <c r="B128" s="12" t="str">
        <f>VLOOKUP(A128,'US Employee Payroll Cleaned'!G:N,2,FALSE)</f>
        <v xml:space="preserve"> JOHNSON, AARON M</v>
      </c>
      <c r="C128" s="61">
        <f>INDEX('US Employee Payroll Cleaned'!A:A,MATCH('Lookup Sheet'!A128,'US Employee Payroll Cleaned'!G:G,0))</f>
        <v>4064.5</v>
      </c>
      <c r="D128" s="56" t="str">
        <f>_xlfn.XLOOKUP(A128,'US Employee Payroll Cleaned'!G:G,'US Employee Payroll Cleaned'!H:H,"Not found")</f>
        <v xml:space="preserve"> JOHNSON, AARON M</v>
      </c>
    </row>
    <row r="129" spans="1:4" x14ac:dyDescent="0.25">
      <c r="A129" s="21" t="s">
        <v>309</v>
      </c>
      <c r="B129" s="12" t="str">
        <f>VLOOKUP(A129,'US Employee Payroll Cleaned'!G:N,2,FALSE)</f>
        <v xml:space="preserve"> KHALIQUE, FARHAN A</v>
      </c>
      <c r="C129" s="61">
        <f>INDEX('US Employee Payroll Cleaned'!A:A,MATCH('Lookup Sheet'!A129,'US Employee Payroll Cleaned'!G:G,0))</f>
        <v>4043</v>
      </c>
      <c r="D129" s="56" t="str">
        <f>_xlfn.XLOOKUP(A129,'US Employee Payroll Cleaned'!G:G,'US Employee Payroll Cleaned'!H:H,"Not found")</f>
        <v xml:space="preserve"> KHALIQUE, FARHAN A</v>
      </c>
    </row>
    <row r="130" spans="1:4" x14ac:dyDescent="0.25">
      <c r="A130" s="21" t="s">
        <v>268</v>
      </c>
      <c r="B130" s="12" t="str">
        <f>VLOOKUP(A130,'US Employee Payroll Cleaned'!G:N,2,FALSE)</f>
        <v xml:space="preserve"> RAMIREZ, CARLOS H</v>
      </c>
      <c r="C130" s="61">
        <f>INDEX('US Employee Payroll Cleaned'!A:A,MATCH('Lookup Sheet'!A130,'US Employee Payroll Cleaned'!G:G,0))</f>
        <v>5152.5</v>
      </c>
      <c r="D130" s="56" t="str">
        <f>_xlfn.XLOOKUP(A130,'US Employee Payroll Cleaned'!G:G,'US Employee Payroll Cleaned'!H:H,"Not found")</f>
        <v xml:space="preserve"> RAMIREZ, CARLOS H</v>
      </c>
    </row>
    <row r="131" spans="1:4" x14ac:dyDescent="0.25">
      <c r="A131" s="21" t="s">
        <v>287</v>
      </c>
      <c r="B131" s="12" t="str">
        <f>VLOOKUP(A131,'US Employee Payroll Cleaned'!G:N,2,FALSE)</f>
        <v xml:space="preserve"> PATE, ONEIDA R</v>
      </c>
      <c r="C131" s="61">
        <f>INDEX('US Employee Payroll Cleaned'!A:A,MATCH('Lookup Sheet'!A131,'US Employee Payroll Cleaned'!G:G,0))</f>
        <v>4274</v>
      </c>
      <c r="D131" s="56" t="str">
        <f>_xlfn.XLOOKUP(A131,'US Employee Payroll Cleaned'!G:G,'US Employee Payroll Cleaned'!H:H,"Not found")</f>
        <v xml:space="preserve"> PATE, ONEIDA R</v>
      </c>
    </row>
    <row r="132" spans="1:4" x14ac:dyDescent="0.25">
      <c r="A132" s="21" t="s">
        <v>105</v>
      </c>
      <c r="B132" s="12" t="str">
        <f>VLOOKUP(A132,'US Employee Payroll Cleaned'!G:N,2,FALSE)</f>
        <v xml:space="preserve"> THOMPSON, TAYLOR J</v>
      </c>
      <c r="C132" s="61">
        <f>INDEX('US Employee Payroll Cleaned'!A:A,MATCH('Lookup Sheet'!A132,'US Employee Payroll Cleaned'!G:G,0))</f>
        <v>2708</v>
      </c>
      <c r="D132" s="56" t="str">
        <f>_xlfn.XLOOKUP(A132,'US Employee Payroll Cleaned'!G:G,'US Employee Payroll Cleaned'!H:H,"Not found")</f>
        <v xml:space="preserve"> THOMPSON, TAYLOR J</v>
      </c>
    </row>
    <row r="133" spans="1:4" x14ac:dyDescent="0.25">
      <c r="A133" s="51" t="s">
        <v>111</v>
      </c>
      <c r="B133" s="12" t="str">
        <f>VLOOKUP(A133,'US Employee Payroll Cleaned'!G:N,2,FALSE)</f>
        <v xml:space="preserve"> ROBACK, BRADLEY G</v>
      </c>
      <c r="C133" s="61">
        <f>INDEX('US Employee Payroll Cleaned'!A:A,MATCH('Lookup Sheet'!A133,'US Employee Payroll Cleaned'!G:G,0))</f>
        <v>4536</v>
      </c>
      <c r="D133" s="56" t="str">
        <f>_xlfn.XLOOKUP(A133,'US Employee Payroll Cleaned'!G:G,'US Employee Payroll Cleaned'!H:H,"Not found")</f>
        <v xml:space="preserve"> ROBACK, BRADLEY G</v>
      </c>
    </row>
    <row r="134" spans="1:4" x14ac:dyDescent="0.25">
      <c r="A134" s="21" t="s">
        <v>420</v>
      </c>
      <c r="B134" s="12" t="str">
        <f>VLOOKUP(A134,'US Employee Payroll Cleaned'!G:N,2,FALSE)</f>
        <v xml:space="preserve"> PLOMIN, KALPANA S</v>
      </c>
      <c r="C134" s="61">
        <f>INDEX('US Employee Payroll Cleaned'!A:A,MATCH('Lookup Sheet'!A134,'US Employee Payroll Cleaned'!G:G,0))</f>
        <v>5816.5</v>
      </c>
      <c r="D134" s="56" t="str">
        <f>_xlfn.XLOOKUP(A134,'US Employee Payroll Cleaned'!G:G,'US Employee Payroll Cleaned'!H:H,"Not found")</f>
        <v xml:space="preserve"> PLOMIN, KALPANA S</v>
      </c>
    </row>
    <row r="135" spans="1:4" x14ac:dyDescent="0.25">
      <c r="A135" s="21" t="s">
        <v>423</v>
      </c>
      <c r="B135" s="12" t="str">
        <f>VLOOKUP(A135,'US Employee Payroll Cleaned'!G:N,2,FALSE)</f>
        <v xml:space="preserve"> O'CONNOR, STEPHANIE K</v>
      </c>
      <c r="C135" s="61">
        <f>INDEX('US Employee Payroll Cleaned'!A:A,MATCH('Lookup Sheet'!A135,'US Employee Payroll Cleaned'!G:G,0))</f>
        <v>3467</v>
      </c>
      <c r="D135" s="56" t="str">
        <f>_xlfn.XLOOKUP(A135,'US Employee Payroll Cleaned'!G:G,'US Employee Payroll Cleaned'!H:H,"Not found")</f>
        <v xml:space="preserve"> O'CONNOR, STEPHANIE K</v>
      </c>
    </row>
    <row r="136" spans="1:4" x14ac:dyDescent="0.25">
      <c r="A136" s="21" t="s">
        <v>93</v>
      </c>
      <c r="B136" s="12" t="str">
        <f>VLOOKUP(A136,'US Employee Payroll Cleaned'!G:N,2,FALSE)</f>
        <v xml:space="preserve"> NELSON, GABRIELLA M</v>
      </c>
      <c r="C136" s="61">
        <f>INDEX('US Employee Payroll Cleaned'!A:A,MATCH('Lookup Sheet'!A136,'US Employee Payroll Cleaned'!G:G,0))</f>
        <v>3607.5</v>
      </c>
      <c r="D136" s="56" t="str">
        <f>_xlfn.XLOOKUP(A136,'US Employee Payroll Cleaned'!G:G,'US Employee Payroll Cleaned'!H:H,"Not found")</f>
        <v xml:space="preserve"> NELSON, GABRIELLA M</v>
      </c>
    </row>
    <row r="137" spans="1:4" x14ac:dyDescent="0.25">
      <c r="A137" s="21" t="s">
        <v>99</v>
      </c>
      <c r="B137" s="12" t="str">
        <f>VLOOKUP(A137,'US Employee Payroll Cleaned'!G:N,2,FALSE)</f>
        <v xml:space="preserve"> HERTZ, DANIEL K</v>
      </c>
      <c r="C137" s="61">
        <f>INDEX('US Employee Payroll Cleaned'!A:A,MATCH('Lookup Sheet'!A137,'US Employee Payroll Cleaned'!G:G,0))</f>
        <v>4766</v>
      </c>
      <c r="D137" s="56" t="str">
        <f>_xlfn.XLOOKUP(A137,'US Employee Payroll Cleaned'!G:G,'US Employee Payroll Cleaned'!H:H,"Not found")</f>
        <v xml:space="preserve"> HERTZ, DANIEL K</v>
      </c>
    </row>
    <row r="138" spans="1:4" x14ac:dyDescent="0.25">
      <c r="A138" s="21" t="s">
        <v>452</v>
      </c>
      <c r="B138" s="12" t="str">
        <f>VLOOKUP(A138,'US Employee Payroll Cleaned'!G:N,2,FALSE)</f>
        <v xml:space="preserve"> SZAFRANIEC, NOAH J</v>
      </c>
      <c r="C138" s="61">
        <f>INDEX('US Employee Payroll Cleaned'!A:A,MATCH('Lookup Sheet'!A138,'US Employee Payroll Cleaned'!G:G,0))</f>
        <v>4534</v>
      </c>
      <c r="D138" s="56" t="str">
        <f>_xlfn.XLOOKUP(A138,'US Employee Payroll Cleaned'!G:G,'US Employee Payroll Cleaned'!H:H,"Not found")</f>
        <v xml:space="preserve"> SZAFRANIEC, NOAH J</v>
      </c>
    </row>
    <row r="139" spans="1:4" x14ac:dyDescent="0.25">
      <c r="A139" s="21" t="s">
        <v>455</v>
      </c>
      <c r="B139" s="12" t="str">
        <f>VLOOKUP(A139,'US Employee Payroll Cleaned'!G:N,2,FALSE)</f>
        <v xml:space="preserve"> MARMO, MICHAEL A</v>
      </c>
      <c r="C139" s="61">
        <f>INDEX('US Employee Payroll Cleaned'!A:A,MATCH('Lookup Sheet'!A139,'US Employee Payroll Cleaned'!G:G,0))</f>
        <v>4444.5</v>
      </c>
      <c r="D139" s="56" t="str">
        <f>_xlfn.XLOOKUP(A139,'US Employee Payroll Cleaned'!G:G,'US Employee Payroll Cleaned'!H:H,"Not found")</f>
        <v xml:space="preserve"> MARMO, MICHAEL A</v>
      </c>
    </row>
    <row r="140" spans="1:4" x14ac:dyDescent="0.25">
      <c r="A140" s="21" t="s">
        <v>50</v>
      </c>
      <c r="B140" s="12" t="str">
        <f>VLOOKUP(A140,'US Employee Payroll Cleaned'!G:N,2,FALSE)</f>
        <v xml:space="preserve"> BARTON, EMILY M</v>
      </c>
      <c r="C140" s="61">
        <f>INDEX('US Employee Payroll Cleaned'!A:A,MATCH('Lookup Sheet'!A140,'US Employee Payroll Cleaned'!G:G,0))</f>
        <v>3340.5</v>
      </c>
      <c r="D140" s="56" t="str">
        <f>_xlfn.XLOOKUP(A140,'US Employee Payroll Cleaned'!G:G,'US Employee Payroll Cleaned'!H:H,"Not found")</f>
        <v xml:space="preserve"> BARTON, EMILY M</v>
      </c>
    </row>
    <row r="141" spans="1:4" x14ac:dyDescent="0.25">
      <c r="A141" s="21" t="s">
        <v>420</v>
      </c>
      <c r="B141" s="12" t="str">
        <f>VLOOKUP(A141,'US Employee Payroll Cleaned'!G:N,2,FALSE)</f>
        <v xml:space="preserve"> PLOMIN, KALPANA S</v>
      </c>
      <c r="C141" s="61">
        <f>INDEX('US Employee Payroll Cleaned'!A:A,MATCH('Lookup Sheet'!A141,'US Employee Payroll Cleaned'!G:G,0))</f>
        <v>5816.5</v>
      </c>
      <c r="D141" s="56" t="str">
        <f>_xlfn.XLOOKUP(A141,'US Employee Payroll Cleaned'!G:G,'US Employee Payroll Cleaned'!H:H,"Not found")</f>
        <v xml:space="preserve"> PLOMIN, KALPANA S</v>
      </c>
    </row>
    <row r="142" spans="1:4" x14ac:dyDescent="0.25">
      <c r="A142" s="21" t="s">
        <v>412</v>
      </c>
      <c r="B142" s="12" t="str">
        <f>VLOOKUP(A142,'US Employee Payroll Cleaned'!G:N,2,FALSE)</f>
        <v xml:space="preserve"> WHEATEN, KEISHA J</v>
      </c>
      <c r="C142" s="61">
        <f>INDEX('US Employee Payroll Cleaned'!A:A,MATCH('Lookup Sheet'!A142,'US Employee Payroll Cleaned'!G:G,0))</f>
        <v>3467</v>
      </c>
      <c r="D142" s="56" t="str">
        <f>_xlfn.XLOOKUP(A142,'US Employee Payroll Cleaned'!G:G,'US Employee Payroll Cleaned'!H:H,"Not found")</f>
        <v xml:space="preserve"> WHEATEN, KEISHA J</v>
      </c>
    </row>
    <row r="143" spans="1:4" x14ac:dyDescent="0.25">
      <c r="A143" s="21" t="s">
        <v>181</v>
      </c>
      <c r="B143" s="12" t="str">
        <f>VLOOKUP(A143,'US Employee Payroll Cleaned'!G:N,2,FALSE)</f>
        <v xml:space="preserve"> HAMILTON, NATASHA A</v>
      </c>
      <c r="C143" s="61">
        <f>INDEX('US Employee Payroll Cleaned'!A:A,MATCH('Lookup Sheet'!A143,'US Employee Payroll Cleaned'!G:G,0))</f>
        <v>6111.5</v>
      </c>
      <c r="D143" s="56" t="str">
        <f>_xlfn.XLOOKUP(A143,'US Employee Payroll Cleaned'!G:G,'US Employee Payroll Cleaned'!H:H,"Not found")</f>
        <v xml:space="preserve"> HAMILTON, NATASHA A</v>
      </c>
    </row>
    <row r="144" spans="1:4" x14ac:dyDescent="0.25">
      <c r="A144" s="21" t="s">
        <v>416</v>
      </c>
      <c r="B144" s="12" t="str">
        <f>VLOOKUP(A144,'US Employee Payroll Cleaned'!G:N,2,FALSE)</f>
        <v xml:space="preserve"> O'BRIEN, JACK F</v>
      </c>
      <c r="C144" s="61">
        <f>INDEX('US Employee Payroll Cleaned'!A:A,MATCH('Lookup Sheet'!A144,'US Employee Payroll Cleaned'!G:G,0))</f>
        <v>365.75</v>
      </c>
      <c r="D144" s="56" t="str">
        <f>_xlfn.XLOOKUP(A144,'US Employee Payroll Cleaned'!G:G,'US Employee Payroll Cleaned'!H:H,"Not found")</f>
        <v xml:space="preserve"> O'BRIEN, JACK F</v>
      </c>
    </row>
    <row r="145" spans="1:4" x14ac:dyDescent="0.25">
      <c r="A145" s="21" t="s">
        <v>187</v>
      </c>
      <c r="B145" s="12" t="str">
        <f>VLOOKUP(A145,'US Employee Payroll Cleaned'!G:N,2,FALSE)</f>
        <v xml:space="preserve"> MCKEE, ZACHARIA G</v>
      </c>
      <c r="C145" s="61">
        <f>INDEX('US Employee Payroll Cleaned'!A:A,MATCH('Lookup Sheet'!A145,'US Employee Payroll Cleaned'!G:G,0))</f>
        <v>546.70000000000005</v>
      </c>
      <c r="D145" s="56" t="str">
        <f>_xlfn.XLOOKUP(A145,'US Employee Payroll Cleaned'!G:G,'US Employee Payroll Cleaned'!H:H,"Not found")</f>
        <v xml:space="preserve"> MCKEE, ZACHARIA G</v>
      </c>
    </row>
    <row r="146" spans="1:4" x14ac:dyDescent="0.25">
      <c r="A146" s="21" t="s">
        <v>229</v>
      </c>
      <c r="B146" s="12" t="str">
        <f>VLOOKUP(A146,'US Employee Payroll Cleaned'!G:N,2,FALSE)</f>
        <v xml:space="preserve"> DURHAM, DESTINY L</v>
      </c>
      <c r="C146" s="61">
        <f>INDEX('US Employee Payroll Cleaned'!A:A,MATCH('Lookup Sheet'!A146,'US Employee Payroll Cleaned'!G:G,0))</f>
        <v>4229.5</v>
      </c>
      <c r="D146" s="56" t="str">
        <f>_xlfn.XLOOKUP(A146,'US Employee Payroll Cleaned'!G:G,'US Employee Payroll Cleaned'!H:H,"Not found")</f>
        <v xml:space="preserve"> DURHAM, DESTINY L</v>
      </c>
    </row>
    <row r="147" spans="1:4" x14ac:dyDescent="0.25">
      <c r="A147" s="21" t="s">
        <v>472</v>
      </c>
      <c r="B147" s="12" t="str">
        <f>VLOOKUP(A147,'US Employee Payroll Cleaned'!G:N,2,FALSE)</f>
        <v xml:space="preserve"> ELIAS, LYNETTE M</v>
      </c>
      <c r="C147" s="61">
        <f>INDEX('US Employee Payroll Cleaned'!A:A,MATCH('Lookup Sheet'!A147,'US Employee Payroll Cleaned'!G:G,0))</f>
        <v>4976.5</v>
      </c>
      <c r="D147" s="56" t="str">
        <f>_xlfn.XLOOKUP(A147,'US Employee Payroll Cleaned'!G:G,'US Employee Payroll Cleaned'!H:H,"Not found")</f>
        <v xml:space="preserve"> ELIAS, LYNETTE M</v>
      </c>
    </row>
    <row r="148" spans="1:4" x14ac:dyDescent="0.25">
      <c r="A148" s="21" t="s">
        <v>476</v>
      </c>
      <c r="B148" s="12" t="str">
        <f>VLOOKUP(A148,'US Employee Payroll Cleaned'!G:N,2,FALSE)</f>
        <v xml:space="preserve"> HARRISON, KIMBERLEY A</v>
      </c>
      <c r="C148" s="61">
        <f>INDEX('US Employee Payroll Cleaned'!A:A,MATCH('Lookup Sheet'!A148,'US Employee Payroll Cleaned'!G:G,0))</f>
        <v>4280.5</v>
      </c>
      <c r="D148" s="56" t="str">
        <f>_xlfn.XLOOKUP(A148,'US Employee Payroll Cleaned'!G:G,'US Employee Payroll Cleaned'!H:H,"Not found")</f>
        <v xml:space="preserve"> HARRISON, KIMBERLEY A</v>
      </c>
    </row>
    <row r="149" spans="1:4" x14ac:dyDescent="0.25">
      <c r="A149" s="21" t="s">
        <v>81</v>
      </c>
      <c r="B149" s="12" t="str">
        <f>VLOOKUP(A149,'US Employee Payroll Cleaned'!G:N,2,FALSE)</f>
        <v xml:space="preserve"> BERAN, PETER D</v>
      </c>
      <c r="C149" s="61">
        <f>INDEX('US Employee Payroll Cleaned'!A:A,MATCH('Lookup Sheet'!A149,'US Employee Payroll Cleaned'!G:G,0))</f>
        <v>3240.5</v>
      </c>
      <c r="D149" s="56" t="str">
        <f>_xlfn.XLOOKUP(A149,'US Employee Payroll Cleaned'!G:G,'US Employee Payroll Cleaned'!H:H,"Not found")</f>
        <v xml:space="preserve"> BERAN, PETER D</v>
      </c>
    </row>
    <row r="150" spans="1:4" x14ac:dyDescent="0.25">
      <c r="A150" s="21" t="s">
        <v>376</v>
      </c>
      <c r="B150" s="12" t="str">
        <f>VLOOKUP(A150,'US Employee Payroll Cleaned'!G:N,2,FALSE)</f>
        <v xml:space="preserve"> HILL, JANICE D</v>
      </c>
      <c r="C150" s="61">
        <f>INDEX('US Employee Payroll Cleaned'!A:A,MATCH('Lookup Sheet'!A150,'US Employee Payroll Cleaned'!G:G,0))</f>
        <v>4280.5</v>
      </c>
      <c r="D150" s="56" t="str">
        <f>_xlfn.XLOOKUP(A150,'US Employee Payroll Cleaned'!G:G,'US Employee Payroll Cleaned'!H:H,"Not found")</f>
        <v xml:space="preserve"> HILL, JANICE D</v>
      </c>
    </row>
    <row r="151" spans="1:4" x14ac:dyDescent="0.25">
      <c r="A151" s="21" t="s">
        <v>45</v>
      </c>
      <c r="B151" s="12" t="str">
        <f>VLOOKUP(A151,'US Employee Payroll Cleaned'!G:N,2,FALSE)</f>
        <v xml:space="preserve"> THRUN, EMILY</v>
      </c>
      <c r="C151" s="61">
        <f>INDEX('US Employee Payroll Cleaned'!A:A,MATCH('Lookup Sheet'!A151,'US Employee Payroll Cleaned'!G:G,0))</f>
        <v>3711.5</v>
      </c>
      <c r="D151" s="56" t="str">
        <f>_xlfn.XLOOKUP(A151,'US Employee Payroll Cleaned'!G:G,'US Employee Payroll Cleaned'!H:H,"Not found")</f>
        <v xml:space="preserve"> THRUN, EMILY</v>
      </c>
    </row>
    <row r="152" spans="1:4" x14ac:dyDescent="0.25">
      <c r="A152" s="21" t="s">
        <v>383</v>
      </c>
      <c r="B152" s="12" t="str">
        <f>VLOOKUP(A152,'US Employee Payroll Cleaned'!G:N,2,FALSE)</f>
        <v xml:space="preserve"> CURRY, NORA</v>
      </c>
      <c r="C152" s="61">
        <f>INDEX('US Employee Payroll Cleaned'!A:A,MATCH('Lookup Sheet'!A152,'US Employee Payroll Cleaned'!G:G,0))</f>
        <v>5212</v>
      </c>
      <c r="D152" s="56" t="str">
        <f>_xlfn.XLOOKUP(A152,'US Employee Payroll Cleaned'!G:G,'US Employee Payroll Cleaned'!H:H,"Not found")</f>
        <v xml:space="preserve"> CURRY, NORA</v>
      </c>
    </row>
    <row r="153" spans="1:4" x14ac:dyDescent="0.25">
      <c r="A153" s="21" t="s">
        <v>387</v>
      </c>
      <c r="B153" s="12" t="str">
        <f>VLOOKUP(A153,'US Employee Payroll Cleaned'!G:N,2,FALSE)</f>
        <v xml:space="preserve"> RAMOS, JOYCE I</v>
      </c>
      <c r="C153" s="61">
        <f>INDEX('US Employee Payroll Cleaned'!A:A,MATCH('Lookup Sheet'!A153,'US Employee Payroll Cleaned'!G:G,0))</f>
        <v>3340.5</v>
      </c>
      <c r="D153" s="56" t="str">
        <f>_xlfn.XLOOKUP(A153,'US Employee Payroll Cleaned'!G:G,'US Employee Payroll Cleaned'!H:H,"Not found")</f>
        <v xml:space="preserve"> RAMOS, JOYCE I</v>
      </c>
    </row>
    <row r="154" spans="1:4" x14ac:dyDescent="0.25">
      <c r="A154" s="21" t="s">
        <v>484</v>
      </c>
      <c r="B154" s="12" t="str">
        <f>VLOOKUP(A154,'US Employee Payroll Cleaned'!G:N,2,FALSE)</f>
        <v xml:space="preserve"> DICKHUT, KATHLEEN E</v>
      </c>
      <c r="C154" s="61">
        <f>INDEX('US Employee Payroll Cleaned'!A:A,MATCH('Lookup Sheet'!A154,'US Employee Payroll Cleaned'!G:G,0))</f>
        <v>5478</v>
      </c>
      <c r="D154" s="56" t="str">
        <f>_xlfn.XLOOKUP(A154,'US Employee Payroll Cleaned'!G:G,'US Employee Payroll Cleaned'!H:H,"Not found")</f>
        <v xml:space="preserve"> DICKHUT, KATHLEEN E</v>
      </c>
    </row>
    <row r="155" spans="1:4" x14ac:dyDescent="0.25">
      <c r="A155" s="21" t="s">
        <v>175</v>
      </c>
      <c r="B155" s="12" t="str">
        <f>VLOOKUP(A155,'US Employee Payroll Cleaned'!G:N,2,FALSE)</f>
        <v xml:space="preserve"> HILL, SAMANTHA</v>
      </c>
      <c r="C155" s="61">
        <f>INDEX('US Employee Payroll Cleaned'!A:A,MATCH('Lookup Sheet'!A155,'US Employee Payroll Cleaned'!G:G,0))</f>
        <v>3055.5</v>
      </c>
      <c r="D155" s="56" t="str">
        <f>_xlfn.XLOOKUP(A155,'US Employee Payroll Cleaned'!G:G,'US Employee Payroll Cleaned'!H:H,"Not found")</f>
        <v xml:space="preserve"> HILL, SAMANTHA</v>
      </c>
    </row>
    <row r="156" spans="1:4" x14ac:dyDescent="0.25">
      <c r="A156" s="21" t="s">
        <v>489</v>
      </c>
      <c r="B156" s="12" t="str">
        <f>VLOOKUP(A156,'US Employee Payroll Cleaned'!G:N,2,FALSE)</f>
        <v xml:space="preserve"> O'DONNELL, BRIAN</v>
      </c>
      <c r="C156" s="61">
        <f>INDEX('US Employee Payroll Cleaned'!A:A,MATCH('Lookup Sheet'!A156,'US Employee Payroll Cleaned'!G:G,0))</f>
        <v>4232.5</v>
      </c>
      <c r="D156" s="56" t="str">
        <f>_xlfn.XLOOKUP(A156,'US Employee Payroll Cleaned'!G:G,'US Employee Payroll Cleaned'!H:H,"Not found")</f>
        <v xml:space="preserve"> O'DONNELL, BRIAN</v>
      </c>
    </row>
    <row r="157" spans="1:4" x14ac:dyDescent="0.25">
      <c r="A157" s="21" t="s">
        <v>181</v>
      </c>
      <c r="B157" s="12" t="str">
        <f>VLOOKUP(A157,'US Employee Payroll Cleaned'!G:N,2,FALSE)</f>
        <v xml:space="preserve"> HAMILTON, NATASHA A</v>
      </c>
      <c r="C157" s="61">
        <f>INDEX('US Employee Payroll Cleaned'!A:A,MATCH('Lookup Sheet'!A157,'US Employee Payroll Cleaned'!G:G,0))</f>
        <v>6111.5</v>
      </c>
      <c r="D157" s="56" t="str">
        <f>_xlfn.XLOOKUP(A157,'US Employee Payroll Cleaned'!G:G,'US Employee Payroll Cleaned'!H:H,"Not found")</f>
        <v xml:space="preserve"> HAMILTON, NATASHA A</v>
      </c>
    </row>
    <row r="158" spans="1:4" x14ac:dyDescent="0.25">
      <c r="A158" s="21" t="s">
        <v>493</v>
      </c>
      <c r="B158" s="12" t="str">
        <f>VLOOKUP(A158,'US Employee Payroll Cleaned'!G:N,2,FALSE)</f>
        <v xml:space="preserve"> SMAILBEGOVIC, OMAR</v>
      </c>
      <c r="C158" s="61">
        <f>INDEX('US Employee Payroll Cleaned'!A:A,MATCH('Lookup Sheet'!A158,'US Employee Payroll Cleaned'!G:G,0))</f>
        <v>3160.5</v>
      </c>
      <c r="D158" s="56" t="str">
        <f>_xlfn.XLOOKUP(A158,'US Employee Payroll Cleaned'!G:G,'US Employee Payroll Cleaned'!H:H,"Not found")</f>
        <v xml:space="preserve"> SMAILBEGOVIC, OMAR</v>
      </c>
    </row>
    <row r="159" spans="1:4" x14ac:dyDescent="0.25">
      <c r="A159" s="21" t="s">
        <v>497</v>
      </c>
      <c r="B159" s="12" t="str">
        <f>VLOOKUP(A159,'US Employee Payroll Cleaned'!G:N,2,FALSE)</f>
        <v xml:space="preserve"> GARZA, CYNTHIA A</v>
      </c>
      <c r="C159" s="61">
        <f>INDEX('US Employee Payroll Cleaned'!A:A,MATCH('Lookup Sheet'!A159,'US Employee Payroll Cleaned'!G:G,0))</f>
        <v>4487.5</v>
      </c>
      <c r="D159" s="56" t="str">
        <f>_xlfn.XLOOKUP(A159,'US Employee Payroll Cleaned'!G:G,'US Employee Payroll Cleaned'!H:H,"Not found")</f>
        <v xml:space="preserve"> GARZA, CYNTHIA A</v>
      </c>
    </row>
    <row r="160" spans="1:4" x14ac:dyDescent="0.25">
      <c r="A160" s="21" t="s">
        <v>258</v>
      </c>
      <c r="B160" s="12" t="str">
        <f>VLOOKUP(A160,'US Employee Payroll Cleaned'!G:N,2,FALSE)</f>
        <v xml:space="preserve"> MUNGIN, WHITNI E</v>
      </c>
      <c r="C160" s="61">
        <f>INDEX('US Employee Payroll Cleaned'!A:A,MATCH('Lookup Sheet'!A160,'US Employee Payroll Cleaned'!G:G,0))</f>
        <v>4229.5</v>
      </c>
      <c r="D160" s="56" t="str">
        <f>_xlfn.XLOOKUP(A160,'US Employee Payroll Cleaned'!G:G,'US Employee Payroll Cleaned'!H:H,"Not found")</f>
        <v xml:space="preserve"> MUNGIN, WHITNI E</v>
      </c>
    </row>
    <row r="161" spans="1:4" x14ac:dyDescent="0.25">
      <c r="A161" s="21" t="s">
        <v>502</v>
      </c>
      <c r="B161" s="12" t="str">
        <f>VLOOKUP(A161,'US Employee Payroll Cleaned'!G:N,2,FALSE)</f>
        <v xml:space="preserve"> ALSAMMARAE, RIMA A</v>
      </c>
      <c r="C161" s="61">
        <f>INDEX('US Employee Payroll Cleaned'!A:A,MATCH('Lookup Sheet'!A161,'US Employee Payroll Cleaned'!G:G,0))</f>
        <v>4579.5</v>
      </c>
      <c r="D161" s="56" t="str">
        <f>_xlfn.XLOOKUP(A161,'US Employee Payroll Cleaned'!G:G,'US Employee Payroll Cleaned'!H:H,"Not found")</f>
        <v xml:space="preserve"> ALSAMMARAE, RIMA A</v>
      </c>
    </row>
    <row r="162" spans="1:4" x14ac:dyDescent="0.25">
      <c r="A162" s="21" t="s">
        <v>62</v>
      </c>
      <c r="B162" s="12" t="str">
        <f>VLOOKUP(A162,'US Employee Payroll Cleaned'!G:N,2,FALSE)</f>
        <v xml:space="preserve"> ALBERT, DAMIAN K</v>
      </c>
      <c r="C162" s="61">
        <f>INDEX('US Employee Payroll Cleaned'!A:A,MATCH('Lookup Sheet'!A162,'US Employee Payroll Cleaned'!G:G,0))</f>
        <v>-194.51</v>
      </c>
      <c r="D162" s="56" t="str">
        <f>_xlfn.XLOOKUP(A162,'US Employee Payroll Cleaned'!G:G,'US Employee Payroll Cleaned'!H:H,"Not found")</f>
        <v xml:space="preserve"> ALBERT, DAMIAN K</v>
      </c>
    </row>
    <row r="163" spans="1:4" x14ac:dyDescent="0.25">
      <c r="A163" s="21" t="s">
        <v>105</v>
      </c>
      <c r="B163" s="12" t="str">
        <f>VLOOKUP(A163,'US Employee Payroll Cleaned'!G:N,2,FALSE)</f>
        <v xml:space="preserve"> THOMPSON, TAYLOR J</v>
      </c>
      <c r="C163" s="61">
        <f>INDEX('US Employee Payroll Cleaned'!A:A,MATCH('Lookup Sheet'!A163,'US Employee Payroll Cleaned'!G:G,0))</f>
        <v>2708</v>
      </c>
      <c r="D163" s="56" t="str">
        <f>_xlfn.XLOOKUP(A163,'US Employee Payroll Cleaned'!G:G,'US Employee Payroll Cleaned'!H:H,"Not found")</f>
        <v xml:space="preserve"> THOMPSON, TAYLOR J</v>
      </c>
    </row>
    <row r="164" spans="1:4" x14ac:dyDescent="0.25">
      <c r="A164" s="21" t="s">
        <v>510</v>
      </c>
      <c r="B164" s="12" t="str">
        <f>VLOOKUP(A164,'US Employee Payroll Cleaned'!G:N,2,FALSE)</f>
        <v xml:space="preserve"> SCHNEIDER, JOHN A</v>
      </c>
      <c r="C164" s="61">
        <f>INDEX('US Employee Payroll Cleaned'!A:A,MATCH('Lookup Sheet'!A164,'US Employee Payroll Cleaned'!G:G,0))</f>
        <v>3768.5</v>
      </c>
      <c r="D164" s="56" t="str">
        <f>_xlfn.XLOOKUP(A164,'US Employee Payroll Cleaned'!G:G,'US Employee Payroll Cleaned'!H:H,"Not found")</f>
        <v xml:space="preserve"> SCHNEIDER, JOHN A</v>
      </c>
    </row>
    <row r="165" spans="1:4" x14ac:dyDescent="0.25">
      <c r="A165" s="21" t="s">
        <v>513</v>
      </c>
      <c r="B165" s="12" t="str">
        <f>VLOOKUP(A165,'US Employee Payroll Cleaned'!G:N,2,FALSE)</f>
        <v xml:space="preserve"> ROSCHEN, MARK E</v>
      </c>
      <c r="C165" s="61">
        <f>INDEX('US Employee Payroll Cleaned'!A:A,MATCH('Lookup Sheet'!A165,'US Employee Payroll Cleaned'!G:G,0))</f>
        <v>4534</v>
      </c>
      <c r="D165" s="56" t="str">
        <f>_xlfn.XLOOKUP(A165,'US Employee Payroll Cleaned'!G:G,'US Employee Payroll Cleaned'!H:H,"Not found")</f>
        <v xml:space="preserve"> ROSCHEN, MARK E</v>
      </c>
    </row>
    <row r="166" spans="1:4" x14ac:dyDescent="0.25">
      <c r="A166" s="21" t="s">
        <v>517</v>
      </c>
      <c r="B166" s="12" t="str">
        <f>VLOOKUP(A166,'US Employee Payroll Cleaned'!G:N,2,FALSE)</f>
        <v xml:space="preserve"> ASTUDILLO, ROBERTO</v>
      </c>
      <c r="C166" s="61">
        <f>INDEX('US Employee Payroll Cleaned'!A:A,MATCH('Lookup Sheet'!A166,'US Employee Payroll Cleaned'!G:G,0))</f>
        <v>3250</v>
      </c>
      <c r="D166" s="56" t="str">
        <f>_xlfn.XLOOKUP(A166,'US Employee Payroll Cleaned'!G:G,'US Employee Payroll Cleaned'!H:H,"Not found")</f>
        <v xml:space="preserve"> ASTUDILLO, ROBERTO</v>
      </c>
    </row>
    <row r="167" spans="1:4" x14ac:dyDescent="0.25">
      <c r="A167" s="21" t="s">
        <v>354</v>
      </c>
      <c r="B167" s="12" t="str">
        <f>VLOOKUP(A167,'US Employee Payroll Cleaned'!G:N,2,FALSE)</f>
        <v xml:space="preserve"> MURDOCH,  JASON J</v>
      </c>
      <c r="C167" s="61">
        <f>INDEX('US Employee Payroll Cleaned'!A:A,MATCH('Lookup Sheet'!A167,'US Employee Payroll Cleaned'!G:G,0))</f>
        <v>1557.38</v>
      </c>
      <c r="D167" s="56" t="str">
        <f>_xlfn.XLOOKUP(A167,'US Employee Payroll Cleaned'!G:G,'US Employee Payroll Cleaned'!H:H,"Not found")</f>
        <v xml:space="preserve"> MURDOCH,  JASON J</v>
      </c>
    </row>
    <row r="168" spans="1:4" x14ac:dyDescent="0.25">
      <c r="A168" s="21" t="s">
        <v>315</v>
      </c>
      <c r="B168" s="12" t="str">
        <f>VLOOKUP(A168,'US Employee Payroll Cleaned'!G:N,2,FALSE)</f>
        <v xml:space="preserve"> KLAIBER, DANIEL R</v>
      </c>
      <c r="C168" s="61">
        <f>INDEX('US Employee Payroll Cleaned'!A:A,MATCH('Lookup Sheet'!A168,'US Employee Payroll Cleaned'!G:G,0))</f>
        <v>4444.5</v>
      </c>
      <c r="D168" s="56" t="str">
        <f>_xlfn.XLOOKUP(A168,'US Employee Payroll Cleaned'!G:G,'US Employee Payroll Cleaned'!H:H,"Not found")</f>
        <v xml:space="preserve"> KLAIBER, DANIEL R</v>
      </c>
    </row>
    <row r="169" spans="1:4" x14ac:dyDescent="0.25">
      <c r="A169" s="21" t="s">
        <v>524</v>
      </c>
      <c r="B169" s="12" t="str">
        <f>VLOOKUP(A169,'US Employee Payroll Cleaned'!G:N,2,FALSE)</f>
        <v xml:space="preserve"> CHASE, JESSIE L</v>
      </c>
      <c r="C169" s="61">
        <f>INDEX('US Employee Payroll Cleaned'!A:A,MATCH('Lookup Sheet'!A169,'US Employee Payroll Cleaned'!G:G,0))</f>
        <v>3768.5</v>
      </c>
      <c r="D169" s="56" t="str">
        <f>_xlfn.XLOOKUP(A169,'US Employee Payroll Cleaned'!G:G,'US Employee Payroll Cleaned'!H:H,"Not found")</f>
        <v xml:space="preserve"> CHASE, JESSIE L</v>
      </c>
    </row>
    <row r="170" spans="1:4" x14ac:dyDescent="0.25">
      <c r="A170" s="21" t="s">
        <v>218</v>
      </c>
      <c r="B170" s="12" t="str">
        <f>VLOOKUP(A170,'US Employee Payroll Cleaned'!G:N,2,FALSE)</f>
        <v xml:space="preserve"> MUHAMMAD, FARIDUDDIN M</v>
      </c>
      <c r="C170" s="61">
        <f>INDEX('US Employee Payroll Cleaned'!A:A,MATCH('Lookup Sheet'!A170,'US Employee Payroll Cleaned'!G:G,0))</f>
        <v>3245.5</v>
      </c>
      <c r="D170" s="56" t="str">
        <f>_xlfn.XLOOKUP(A170,'US Employee Payroll Cleaned'!G:G,'US Employee Payroll Cleaned'!H:H,"Not found")</f>
        <v xml:space="preserve"> MUHAMMAD, FARIDUDDIN M</v>
      </c>
    </row>
    <row r="171" spans="1:4" x14ac:dyDescent="0.25">
      <c r="A171" s="21" t="s">
        <v>529</v>
      </c>
      <c r="B171" s="12" t="str">
        <f>VLOOKUP(A171,'US Employee Payroll Cleaned'!G:N,2,FALSE)</f>
        <v xml:space="preserve"> MERCADO, MIKAELA N</v>
      </c>
      <c r="C171" s="61">
        <f>INDEX('US Employee Payroll Cleaned'!A:A,MATCH('Lookup Sheet'!A171,'US Employee Payroll Cleaned'!G:G,0))</f>
        <v>296.45</v>
      </c>
      <c r="D171" s="56" t="str">
        <f>_xlfn.XLOOKUP(A171,'US Employee Payroll Cleaned'!G:G,'US Employee Payroll Cleaned'!H:H,"Not found")</f>
        <v xml:space="preserve"> MERCADO, MIKAELA N</v>
      </c>
    </row>
    <row r="172" spans="1:4" x14ac:dyDescent="0.25">
      <c r="A172" s="21" t="s">
        <v>534</v>
      </c>
      <c r="B172" s="12" t="str">
        <f>VLOOKUP(A172,'US Employee Payroll Cleaned'!G:N,2,FALSE)</f>
        <v xml:space="preserve"> LUCIO, CRISTINA</v>
      </c>
      <c r="C172" s="61">
        <f>INDEX('US Employee Payroll Cleaned'!A:A,MATCH('Lookup Sheet'!A172,'US Employee Payroll Cleaned'!G:G,0))</f>
        <v>596.75</v>
      </c>
      <c r="D172" s="56" t="str">
        <f>_xlfn.XLOOKUP(A172,'US Employee Payroll Cleaned'!G:G,'US Employee Payroll Cleaned'!H:H,"Not found")</f>
        <v xml:space="preserve"> LUCIO, CRISTINA</v>
      </c>
    </row>
    <row r="173" spans="1:4" x14ac:dyDescent="0.25">
      <c r="A173" s="21" t="s">
        <v>538</v>
      </c>
      <c r="B173" s="12" t="str">
        <f>VLOOKUP(A173,'US Employee Payroll Cleaned'!G:N,2,FALSE)</f>
        <v xml:space="preserve"> MICH, LUKE A</v>
      </c>
      <c r="C173" s="61">
        <f>INDEX('US Employee Payroll Cleaned'!A:A,MATCH('Lookup Sheet'!A173,'US Employee Payroll Cleaned'!G:G,0))</f>
        <v>3467</v>
      </c>
      <c r="D173" s="56" t="str">
        <f>_xlfn.XLOOKUP(A173,'US Employee Payroll Cleaned'!G:G,'US Employee Payroll Cleaned'!H:H,"Not found")</f>
        <v xml:space="preserve"> MICH, LUKE A</v>
      </c>
    </row>
    <row r="174" spans="1:4" x14ac:dyDescent="0.25">
      <c r="A174" s="21" t="s">
        <v>141</v>
      </c>
      <c r="B174" s="12" t="str">
        <f>VLOOKUP(A174,'US Employee Payroll Cleaned'!G:N,2,FALSE)</f>
        <v xml:space="preserve"> LAW, JOHN A</v>
      </c>
      <c r="C174" s="61">
        <f>INDEX('US Employee Payroll Cleaned'!A:A,MATCH('Lookup Sheet'!A174,'US Employee Payroll Cleaned'!G:G,0))</f>
        <v>4534</v>
      </c>
      <c r="D174" s="56" t="str">
        <f>_xlfn.XLOOKUP(A174,'US Employee Payroll Cleaned'!G:G,'US Employee Payroll Cleaned'!H:H,"Not found")</f>
        <v xml:space="preserve"> LAW, JOHN A</v>
      </c>
    </row>
    <row r="175" spans="1:4" x14ac:dyDescent="0.25">
      <c r="A175" s="21" t="s">
        <v>268</v>
      </c>
      <c r="B175" s="12" t="str">
        <f>VLOOKUP(A175,'US Employee Payroll Cleaned'!G:N,2,FALSE)</f>
        <v xml:space="preserve"> RAMIREZ, CARLOS H</v>
      </c>
      <c r="C175" s="61">
        <f>INDEX('US Employee Payroll Cleaned'!A:A,MATCH('Lookup Sheet'!A175,'US Employee Payroll Cleaned'!G:G,0))</f>
        <v>5152.5</v>
      </c>
      <c r="D175" s="56" t="str">
        <f>_xlfn.XLOOKUP(A175,'US Employee Payroll Cleaned'!G:G,'US Employee Payroll Cleaned'!H:H,"Not found")</f>
        <v xml:space="preserve"> RAMIREZ, CARLOS H</v>
      </c>
    </row>
    <row r="176" spans="1:4" x14ac:dyDescent="0.25">
      <c r="A176" s="21" t="s">
        <v>544</v>
      </c>
      <c r="B176" s="12" t="str">
        <f>VLOOKUP(A176,'US Employee Payroll Cleaned'!G:N,2,FALSE)</f>
        <v xml:space="preserve"> CLAYTON, LOUIS R</v>
      </c>
      <c r="C176" s="61">
        <f>INDEX('US Employee Payroll Cleaned'!A:A,MATCH('Lookup Sheet'!A176,'US Employee Payroll Cleaned'!G:G,0))</f>
        <v>3250</v>
      </c>
      <c r="D176" s="56" t="str">
        <f>_xlfn.XLOOKUP(A176,'US Employee Payroll Cleaned'!G:G,'US Employee Payroll Cleaned'!H:H,"Not found")</f>
        <v xml:space="preserve"> CLAYTON, LOUIS R</v>
      </c>
    </row>
    <row r="177" spans="1:4" x14ac:dyDescent="0.25">
      <c r="A177" s="51" t="s">
        <v>547</v>
      </c>
      <c r="B177" s="12" t="str">
        <f>VLOOKUP(A177,'US Employee Payroll Cleaned'!G:N,2,FALSE)</f>
        <v xml:space="preserve"> JONES, VONETTA W</v>
      </c>
      <c r="C177" s="61">
        <f>INDEX('US Employee Payroll Cleaned'!A:A,MATCH('Lookup Sheet'!A177,'US Employee Payroll Cleaned'!G:G,0))</f>
        <v>3398</v>
      </c>
      <c r="D177" s="56" t="str">
        <f>_xlfn.XLOOKUP(A177,'US Employee Payroll Cleaned'!G:G,'US Employee Payroll Cleaned'!H:H,"Not found")</f>
        <v xml:space="preserve"> JONES, VONETTA W</v>
      </c>
    </row>
    <row r="178" spans="1:4" x14ac:dyDescent="0.25">
      <c r="A178" s="21" t="s">
        <v>181</v>
      </c>
      <c r="B178" s="12" t="str">
        <f>VLOOKUP(A178,'US Employee Payroll Cleaned'!G:N,2,FALSE)</f>
        <v xml:space="preserve"> HAMILTON, NATASHA A</v>
      </c>
      <c r="C178" s="61">
        <f>INDEX('US Employee Payroll Cleaned'!A:A,MATCH('Lookup Sheet'!A178,'US Employee Payroll Cleaned'!G:G,0))</f>
        <v>6111.5</v>
      </c>
      <c r="D178" s="56" t="str">
        <f>_xlfn.XLOOKUP(A178,'US Employee Payroll Cleaned'!G:G,'US Employee Payroll Cleaned'!H:H,"Not found")</f>
        <v xml:space="preserve"> HAMILTON, NATASHA A</v>
      </c>
    </row>
    <row r="179" spans="1:4" x14ac:dyDescent="0.25">
      <c r="A179" s="21" t="s">
        <v>187</v>
      </c>
      <c r="B179" s="12" t="str">
        <f>VLOOKUP(A179,'US Employee Payroll Cleaned'!G:N,2,FALSE)</f>
        <v xml:space="preserve"> MCKEE, ZACHARIA G</v>
      </c>
      <c r="C179" s="61">
        <f>INDEX('US Employee Payroll Cleaned'!A:A,MATCH('Lookup Sheet'!A179,'US Employee Payroll Cleaned'!G:G,0))</f>
        <v>546.70000000000005</v>
      </c>
      <c r="D179" s="56" t="str">
        <f>_xlfn.XLOOKUP(A179,'US Employee Payroll Cleaned'!G:G,'US Employee Payroll Cleaned'!H:H,"Not found")</f>
        <v xml:space="preserve"> MCKEE, ZACHARIA G</v>
      </c>
    </row>
    <row r="180" spans="1:4" x14ac:dyDescent="0.25">
      <c r="A180" s="21" t="s">
        <v>358</v>
      </c>
      <c r="B180" s="12" t="str">
        <f>VLOOKUP(A180,'US Employee Payroll Cleaned'!G:N,2,FALSE)</f>
        <v xml:space="preserve"> ORTEGA, VICTORIA L</v>
      </c>
      <c r="C180" s="61">
        <f>INDEX('US Employee Payroll Cleaned'!A:A,MATCH('Lookup Sheet'!A180,'US Employee Payroll Cleaned'!G:G,0))</f>
        <v>4330</v>
      </c>
      <c r="D180" s="56" t="str">
        <f>_xlfn.XLOOKUP(A180,'US Employee Payroll Cleaned'!G:G,'US Employee Payroll Cleaned'!H:H,"Not found")</f>
        <v xml:space="preserve"> ORTEGA, VICTORIA L</v>
      </c>
    </row>
    <row r="181" spans="1:4" x14ac:dyDescent="0.25">
      <c r="A181" s="21" t="s">
        <v>197</v>
      </c>
      <c r="B181" s="12" t="str">
        <f>VLOOKUP(A181,'US Employee Payroll Cleaned'!G:N,2,FALSE)</f>
        <v xml:space="preserve"> LIANG, SUNNY S</v>
      </c>
      <c r="C181" s="61">
        <f>INDEX('US Employee Payroll Cleaned'!A:A,MATCH('Lookup Sheet'!A181,'US Employee Payroll Cleaned'!G:G,0))</f>
        <v>3095</v>
      </c>
      <c r="D181" s="56" t="str">
        <f>_xlfn.XLOOKUP(A181,'US Employee Payroll Cleaned'!G:G,'US Employee Payroll Cleaned'!H:H,"Not found")</f>
        <v xml:space="preserve"> LIANG, SUNNY S</v>
      </c>
    </row>
    <row r="182" spans="1:4" x14ac:dyDescent="0.25">
      <c r="A182" s="21" t="s">
        <v>340</v>
      </c>
      <c r="B182" s="12" t="str">
        <f>VLOOKUP(A182,'US Employee Payroll Cleaned'!G:N,2,FALSE)</f>
        <v xml:space="preserve"> GAETA, JOSE O</v>
      </c>
      <c r="C182" s="61">
        <f>INDEX('US Employee Payroll Cleaned'!A:A,MATCH('Lookup Sheet'!A182,'US Employee Payroll Cleaned'!G:G,0))</f>
        <v>4541.5</v>
      </c>
      <c r="D182" s="56" t="str">
        <f>_xlfn.XLOOKUP(A182,'US Employee Payroll Cleaned'!G:G,'US Employee Payroll Cleaned'!H:H,"Not found")</f>
        <v xml:space="preserve"> GAETA, JOSE O</v>
      </c>
    </row>
    <row r="183" spans="1:4" x14ac:dyDescent="0.25">
      <c r="A183" s="21" t="s">
        <v>455</v>
      </c>
      <c r="B183" s="12" t="str">
        <f>VLOOKUP(A183,'US Employee Payroll Cleaned'!G:N,2,FALSE)</f>
        <v xml:space="preserve"> MARMO, MICHAEL A</v>
      </c>
      <c r="C183" s="61">
        <f>INDEX('US Employee Payroll Cleaned'!A:A,MATCH('Lookup Sheet'!A183,'US Employee Payroll Cleaned'!G:G,0))</f>
        <v>4444.5</v>
      </c>
      <c r="D183" s="56" t="str">
        <f>_xlfn.XLOOKUP(A183,'US Employee Payroll Cleaned'!G:G,'US Employee Payroll Cleaned'!H:H,"Not found")</f>
        <v xml:space="preserve"> MARMO, MICHAEL A</v>
      </c>
    </row>
    <row r="184" spans="1:4" x14ac:dyDescent="0.25">
      <c r="A184" s="21" t="s">
        <v>524</v>
      </c>
      <c r="B184" s="12" t="str">
        <f>VLOOKUP(A184,'US Employee Payroll Cleaned'!G:N,2,FALSE)</f>
        <v xml:space="preserve"> CHASE, JESSIE L</v>
      </c>
      <c r="C184" s="61">
        <f>INDEX('US Employee Payroll Cleaned'!A:A,MATCH('Lookup Sheet'!A184,'US Employee Payroll Cleaned'!G:G,0))</f>
        <v>3768.5</v>
      </c>
      <c r="D184" s="56" t="str">
        <f>_xlfn.XLOOKUP(A184,'US Employee Payroll Cleaned'!G:G,'US Employee Payroll Cleaned'!H:H,"Not found")</f>
        <v xml:space="preserve"> CHASE, JESSIE L</v>
      </c>
    </row>
    <row r="185" spans="1:4" x14ac:dyDescent="0.25">
      <c r="A185" s="21" t="s">
        <v>562</v>
      </c>
      <c r="B185" s="12" t="str">
        <f>VLOOKUP(A185,'US Employee Payroll Cleaned'!G:N,2,FALSE)</f>
        <v xml:space="preserve"> CASSIDY, MARGARET O</v>
      </c>
      <c r="C185" s="61">
        <f>INDEX('US Employee Payroll Cleaned'!A:A,MATCH('Lookup Sheet'!A185,'US Employee Payroll Cleaned'!G:G,0))</f>
        <v>3560.5</v>
      </c>
      <c r="D185" s="56" t="str">
        <f>_xlfn.XLOOKUP(A185,'US Employee Payroll Cleaned'!G:G,'US Employee Payroll Cleaned'!H:H,"Not found")</f>
        <v xml:space="preserve"> CASSIDY, MARGARET O</v>
      </c>
    </row>
    <row r="186" spans="1:4" x14ac:dyDescent="0.25">
      <c r="A186" s="21" t="s">
        <v>229</v>
      </c>
      <c r="B186" s="12" t="str">
        <f>VLOOKUP(A186,'US Employee Payroll Cleaned'!G:N,2,FALSE)</f>
        <v xml:space="preserve"> DURHAM, DESTINY L</v>
      </c>
      <c r="C186" s="61">
        <f>INDEX('US Employee Payroll Cleaned'!A:A,MATCH('Lookup Sheet'!A186,'US Employee Payroll Cleaned'!G:G,0))</f>
        <v>4229.5</v>
      </c>
      <c r="D186" s="56" t="str">
        <f>_xlfn.XLOOKUP(A186,'US Employee Payroll Cleaned'!G:G,'US Employee Payroll Cleaned'!H:H,"Not found")</f>
        <v xml:space="preserve"> DURHAM, DESTINY L</v>
      </c>
    </row>
    <row r="187" spans="1:4" x14ac:dyDescent="0.25">
      <c r="A187" s="21" t="s">
        <v>62</v>
      </c>
      <c r="B187" s="12" t="str">
        <f>VLOOKUP(A187,'US Employee Payroll Cleaned'!G:N,2,FALSE)</f>
        <v xml:space="preserve"> ALBERT, DAMIAN K</v>
      </c>
      <c r="C187" s="61">
        <f>INDEX('US Employee Payroll Cleaned'!A:A,MATCH('Lookup Sheet'!A187,'US Employee Payroll Cleaned'!G:G,0))</f>
        <v>-194.51</v>
      </c>
      <c r="D187" s="56" t="str">
        <f>_xlfn.XLOOKUP(A187,'US Employee Payroll Cleaned'!G:G,'US Employee Payroll Cleaned'!H:H,"Not found")</f>
        <v xml:space="preserve"> ALBERT, DAMIAN K</v>
      </c>
    </row>
    <row r="188" spans="1:4" x14ac:dyDescent="0.25">
      <c r="A188" s="21" t="s">
        <v>229</v>
      </c>
      <c r="B188" s="12" t="str">
        <f>VLOOKUP(A188,'US Employee Payroll Cleaned'!G:N,2,FALSE)</f>
        <v xml:space="preserve"> DURHAM, DESTINY L</v>
      </c>
      <c r="C188" s="61">
        <f>INDEX('US Employee Payroll Cleaned'!A:A,MATCH('Lookup Sheet'!A188,'US Employee Payroll Cleaned'!G:G,0))</f>
        <v>4229.5</v>
      </c>
      <c r="D188" s="56" t="str">
        <f>_xlfn.XLOOKUP(A188,'US Employee Payroll Cleaned'!G:G,'US Employee Payroll Cleaned'!H:H,"Not found")</f>
        <v xml:space="preserve"> DURHAM, DESTINY L</v>
      </c>
    </row>
    <row r="189" spans="1:4" x14ac:dyDescent="0.25">
      <c r="A189" s="21" t="s">
        <v>568</v>
      </c>
      <c r="B189" s="12" t="str">
        <f>VLOOKUP(A189,'US Employee Payroll Cleaned'!G:N,2,FALSE)</f>
        <v xml:space="preserve"> DUPLAGA, ALICIA</v>
      </c>
      <c r="C189" s="61">
        <f>INDEX('US Employee Payroll Cleaned'!A:A,MATCH('Lookup Sheet'!A189,'US Employee Payroll Cleaned'!G:G,0))</f>
        <v>3902.5</v>
      </c>
      <c r="D189" s="56" t="str">
        <f>_xlfn.XLOOKUP(A189,'US Employee Payroll Cleaned'!G:G,'US Employee Payroll Cleaned'!H:H,"Not found")</f>
        <v xml:space="preserve"> DUPLAGA, ALICIA</v>
      </c>
    </row>
    <row r="190" spans="1:4" x14ac:dyDescent="0.25">
      <c r="A190" s="21" t="s">
        <v>340</v>
      </c>
      <c r="B190" s="12" t="str">
        <f>VLOOKUP(A190,'US Employee Payroll Cleaned'!G:N,2,FALSE)</f>
        <v xml:space="preserve"> GAETA, JOSE O</v>
      </c>
      <c r="C190" s="61">
        <f>INDEX('US Employee Payroll Cleaned'!A:A,MATCH('Lookup Sheet'!A190,'US Employee Payroll Cleaned'!G:G,0))</f>
        <v>4541.5</v>
      </c>
      <c r="D190" s="56" t="str">
        <f>_xlfn.XLOOKUP(A190,'US Employee Payroll Cleaned'!G:G,'US Employee Payroll Cleaned'!H:H,"Not found")</f>
        <v xml:space="preserve"> GAETA, JOSE O</v>
      </c>
    </row>
    <row r="191" spans="1:4" x14ac:dyDescent="0.25">
      <c r="A191" s="21" t="s">
        <v>283</v>
      </c>
      <c r="B191" s="12" t="str">
        <f>VLOOKUP(A191,'US Employee Payroll Cleaned'!G:N,2,FALSE)</f>
        <v xml:space="preserve"> ALNASER, ANNA Y</v>
      </c>
      <c r="C191" s="61">
        <f>INDEX('US Employee Payroll Cleaned'!A:A,MATCH('Lookup Sheet'!A191,'US Employee Payroll Cleaned'!G:G,0))</f>
        <v>2783.5</v>
      </c>
      <c r="D191" s="56" t="str">
        <f>_xlfn.XLOOKUP(A191,'US Employee Payroll Cleaned'!G:G,'US Employee Payroll Cleaned'!H:H,"Not found")</f>
        <v xml:space="preserve"> ALNASER, ANNA Y</v>
      </c>
    </row>
    <row r="192" spans="1:4" x14ac:dyDescent="0.25">
      <c r="A192" s="21" t="s">
        <v>213</v>
      </c>
      <c r="B192" s="12" t="str">
        <f>VLOOKUP(A192,'US Employee Payroll Cleaned'!G:N,2,FALSE)</f>
        <v xml:space="preserve"> HOLLAND, WILLIAM R</v>
      </c>
      <c r="C192" s="61">
        <f>INDEX('US Employee Payroll Cleaned'!A:A,MATCH('Lookup Sheet'!A192,'US Employee Payroll Cleaned'!G:G,0))</f>
        <v>3250</v>
      </c>
      <c r="D192" s="56" t="str">
        <f>_xlfn.XLOOKUP(A192,'US Employee Payroll Cleaned'!G:G,'US Employee Payroll Cleaned'!H:H,"Not found")</f>
        <v xml:space="preserve"> HOLLAND, WILLIAM R</v>
      </c>
    </row>
    <row r="193" spans="1:4" x14ac:dyDescent="0.25">
      <c r="A193" s="21" t="s">
        <v>455</v>
      </c>
      <c r="B193" s="12" t="str">
        <f>VLOOKUP(A193,'US Employee Payroll Cleaned'!G:N,2,FALSE)</f>
        <v xml:space="preserve"> MARMO, MICHAEL A</v>
      </c>
      <c r="C193" s="61">
        <f>INDEX('US Employee Payroll Cleaned'!A:A,MATCH('Lookup Sheet'!A193,'US Employee Payroll Cleaned'!G:G,0))</f>
        <v>4444.5</v>
      </c>
      <c r="D193" s="56" t="str">
        <f>_xlfn.XLOOKUP(A193,'US Employee Payroll Cleaned'!G:G,'US Employee Payroll Cleaned'!H:H,"Not found")</f>
        <v xml:space="preserve"> MARMO, MICHAEL A</v>
      </c>
    </row>
    <row r="194" spans="1:4" x14ac:dyDescent="0.25">
      <c r="A194" s="21" t="s">
        <v>420</v>
      </c>
      <c r="B194" s="12" t="str">
        <f>VLOOKUP(A194,'US Employee Payroll Cleaned'!G:N,2,FALSE)</f>
        <v xml:space="preserve"> PLOMIN, KALPANA S</v>
      </c>
      <c r="C194" s="61">
        <f>INDEX('US Employee Payroll Cleaned'!A:A,MATCH('Lookup Sheet'!A194,'US Employee Payroll Cleaned'!G:G,0))</f>
        <v>5816.5</v>
      </c>
      <c r="D194" s="56" t="str">
        <f>_xlfn.XLOOKUP(A194,'US Employee Payroll Cleaned'!G:G,'US Employee Payroll Cleaned'!H:H,"Not found")</f>
        <v xml:space="preserve"> PLOMIN, KALPANA S</v>
      </c>
    </row>
    <row r="195" spans="1:4" x14ac:dyDescent="0.25">
      <c r="A195" s="21" t="s">
        <v>529</v>
      </c>
      <c r="B195" s="12" t="str">
        <f>VLOOKUP(A195,'US Employee Payroll Cleaned'!G:N,2,FALSE)</f>
        <v xml:space="preserve"> MERCADO, MIKAELA N</v>
      </c>
      <c r="C195" s="61">
        <f>INDEX('US Employee Payroll Cleaned'!A:A,MATCH('Lookup Sheet'!A195,'US Employee Payroll Cleaned'!G:G,0))</f>
        <v>296.45</v>
      </c>
      <c r="D195" s="56" t="str">
        <f>_xlfn.XLOOKUP(A195,'US Employee Payroll Cleaned'!G:G,'US Employee Payroll Cleaned'!H:H,"Not found")</f>
        <v xml:space="preserve"> MERCADO, MIKAELA N</v>
      </c>
    </row>
    <row r="196" spans="1:4" x14ac:dyDescent="0.25">
      <c r="A196" s="21" t="s">
        <v>187</v>
      </c>
      <c r="B196" s="12" t="str">
        <f>VLOOKUP(A196,'US Employee Payroll Cleaned'!G:N,2,FALSE)</f>
        <v xml:space="preserve"> MCKEE, ZACHARIA G</v>
      </c>
      <c r="C196" s="61">
        <f>INDEX('US Employee Payroll Cleaned'!A:A,MATCH('Lookup Sheet'!A196,'US Employee Payroll Cleaned'!G:G,0))</f>
        <v>546.70000000000005</v>
      </c>
      <c r="D196" s="56" t="str">
        <f>_xlfn.XLOOKUP(A196,'US Employee Payroll Cleaned'!G:G,'US Employee Payroll Cleaned'!H:H,"Not found")</f>
        <v xml:space="preserve"> MCKEE, ZACHARIA G</v>
      </c>
    </row>
    <row r="197" spans="1:4" x14ac:dyDescent="0.25">
      <c r="A197" s="21" t="s">
        <v>34</v>
      </c>
      <c r="B197" s="12" t="str">
        <f>VLOOKUP(A197,'US Employee Payroll Cleaned'!G:N,2,FALSE)</f>
        <v xml:space="preserve"> GRAYER, SHELIA D</v>
      </c>
      <c r="C197" s="61">
        <f>INDEX('US Employee Payroll Cleaned'!A:A,MATCH('Lookup Sheet'!A197,'US Employee Payroll Cleaned'!G:G,0))</f>
        <v>3902.5</v>
      </c>
      <c r="D197" s="56" t="str">
        <f>_xlfn.XLOOKUP(A197,'US Employee Payroll Cleaned'!G:G,'US Employee Payroll Cleaned'!H:H,"Not found")</f>
        <v xml:space="preserve"> GRAYER, SHELIA D</v>
      </c>
    </row>
    <row r="198" spans="1:4" x14ac:dyDescent="0.25">
      <c r="A198" s="21" t="s">
        <v>330</v>
      </c>
      <c r="B198" s="12" t="str">
        <f>VLOOKUP(A198,'US Employee Payroll Cleaned'!G:N,2,FALSE)</f>
        <v xml:space="preserve"> RADZEVICH, NANCY M</v>
      </c>
      <c r="C198" s="61">
        <f>INDEX('US Employee Payroll Cleaned'!A:A,MATCH('Lookup Sheet'!A198,'US Employee Payroll Cleaned'!G:G,0))</f>
        <v>4579.5</v>
      </c>
      <c r="D198" s="56" t="str">
        <f>_xlfn.XLOOKUP(A198,'US Employee Payroll Cleaned'!G:G,'US Employee Payroll Cleaned'!H:H,"Not found")</f>
        <v xml:space="preserve"> RADZEVICH, NANCY M</v>
      </c>
    </row>
    <row r="199" spans="1:4" x14ac:dyDescent="0.25">
      <c r="A199" s="21" t="s">
        <v>372</v>
      </c>
      <c r="B199" s="12" t="str">
        <f>VLOOKUP(A199,'US Employee Payroll Cleaned'!G:N,2,FALSE)</f>
        <v xml:space="preserve"> BARTLETT, KYLE W</v>
      </c>
      <c r="C199" s="61">
        <f>INDEX('US Employee Payroll Cleaned'!A:A,MATCH('Lookup Sheet'!A199,'US Employee Payroll Cleaned'!G:G,0))</f>
        <v>4534</v>
      </c>
      <c r="D199" s="56" t="str">
        <f>_xlfn.XLOOKUP(A199,'US Employee Payroll Cleaned'!G:G,'US Employee Payroll Cleaned'!H:H,"Not found")</f>
        <v xml:space="preserve"> BARTLETT, KYLE W</v>
      </c>
    </row>
    <row r="200" spans="1:4" x14ac:dyDescent="0.25">
      <c r="A200" s="21" t="s">
        <v>76</v>
      </c>
      <c r="B200" s="12" t="str">
        <f>VLOOKUP(A200,'US Employee Payroll Cleaned'!G:N,2,FALSE)</f>
        <v xml:space="preserve"> NOLTER, ROBERT J</v>
      </c>
      <c r="C200" s="61">
        <f>INDEX('US Employee Payroll Cleaned'!A:A,MATCH('Lookup Sheet'!A200,'US Employee Payroll Cleaned'!G:G,0))</f>
        <v>2542.5</v>
      </c>
      <c r="D200" s="56" t="str">
        <f>_xlfn.XLOOKUP(A200,'US Employee Payroll Cleaned'!G:G,'US Employee Payroll Cleaned'!H:H,"Not found")</f>
        <v xml:space="preserve"> NOLTER, ROBERT J</v>
      </c>
    </row>
    <row r="201" spans="1:4" x14ac:dyDescent="0.25">
      <c r="A201" s="21" t="s">
        <v>81</v>
      </c>
      <c r="B201" s="12" t="str">
        <f>VLOOKUP(A201,'US Employee Payroll Cleaned'!G:N,2,FALSE)</f>
        <v xml:space="preserve"> BERAN, PETER D</v>
      </c>
      <c r="C201" s="61">
        <f>INDEX('US Employee Payroll Cleaned'!A:A,MATCH('Lookup Sheet'!A201,'US Employee Payroll Cleaned'!G:G,0))</f>
        <v>3240.5</v>
      </c>
      <c r="D201" s="56" t="str">
        <f>_xlfn.XLOOKUP(A201,'US Employee Payroll Cleaned'!G:G,'US Employee Payroll Cleaned'!H:H,"Not found")</f>
        <v xml:space="preserve"> BERAN, PETER D</v>
      </c>
    </row>
    <row r="202" spans="1:4" x14ac:dyDescent="0.25">
      <c r="A202" s="21" t="s">
        <v>432</v>
      </c>
      <c r="B202" s="12" t="str">
        <f>VLOOKUP(A202,'US Employee Payroll Cleaned'!G:N,2,FALSE)</f>
        <v xml:space="preserve"> RHYMES, MICHELE A</v>
      </c>
      <c r="C202" s="61">
        <f>INDEX('US Employee Payroll Cleaned'!A:A,MATCH('Lookup Sheet'!A202,'US Employee Payroll Cleaned'!G:G,0))</f>
        <v>4274</v>
      </c>
      <c r="D202" s="56" t="str">
        <f>_xlfn.XLOOKUP(A202,'US Employee Payroll Cleaned'!G:G,'US Employee Payroll Cleaned'!H:H,"Not found")</f>
        <v xml:space="preserve"> RHYMES, MICHELE A</v>
      </c>
    </row>
    <row r="203" spans="1:4" x14ac:dyDescent="0.25">
      <c r="A203" s="21" t="s">
        <v>406</v>
      </c>
      <c r="B203" s="12" t="str">
        <f>VLOOKUP(A203,'US Employee Payroll Cleaned'!G:N,2,FALSE)</f>
        <v xml:space="preserve"> MICHAELS, JAMES</v>
      </c>
      <c r="C203" s="61">
        <f>INDEX('US Employee Payroll Cleaned'!A:A,MATCH('Lookup Sheet'!A203,'US Employee Payroll Cleaned'!G:G,0))</f>
        <v>3360.5</v>
      </c>
      <c r="D203" s="56" t="str">
        <f>_xlfn.XLOOKUP(A203,'US Employee Payroll Cleaned'!G:G,'US Employee Payroll Cleaned'!H:H,"Not found")</f>
        <v xml:space="preserve"> MICHAELS, JAMES</v>
      </c>
    </row>
    <row r="204" spans="1:4" x14ac:dyDescent="0.25">
      <c r="A204" s="21" t="s">
        <v>590</v>
      </c>
      <c r="B204" s="12" t="str">
        <f>VLOOKUP(A204,'US Employee Payroll Cleaned'!G:N,2,FALSE)</f>
        <v xml:space="preserve"> NAPOLES, LISA G</v>
      </c>
      <c r="C204" s="61">
        <f>INDEX('US Employee Payroll Cleaned'!A:A,MATCH('Lookup Sheet'!A204,'US Employee Payroll Cleaned'!G:G,0))</f>
        <v>2783.5</v>
      </c>
      <c r="D204" s="56" t="str">
        <f>_xlfn.XLOOKUP(A204,'US Employee Payroll Cleaned'!G:G,'US Employee Payroll Cleaned'!H:H,"Not found")</f>
        <v xml:space="preserve"> NAPOLES, LISA G</v>
      </c>
    </row>
    <row r="205" spans="1:4" x14ac:dyDescent="0.25">
      <c r="A205" s="21" t="s">
        <v>325</v>
      </c>
      <c r="B205" s="12" t="str">
        <f>VLOOKUP(A205,'US Employee Payroll Cleaned'!G:N,2,FALSE)</f>
        <v xml:space="preserve"> WINDMON, HEATHER E</v>
      </c>
      <c r="C205" s="61">
        <f>INDEX('US Employee Payroll Cleaned'!A:A,MATCH('Lookup Sheet'!A205,'US Employee Payroll Cleaned'!G:G,0))</f>
        <v>2206.5</v>
      </c>
      <c r="D205" s="56" t="str">
        <f>_xlfn.XLOOKUP(A205,'US Employee Payroll Cleaned'!G:G,'US Employee Payroll Cleaned'!H:H,"Not found")</f>
        <v xml:space="preserve"> WINDMON, HEATHER E</v>
      </c>
    </row>
    <row r="206" spans="1:4" x14ac:dyDescent="0.25">
      <c r="A206" s="21" t="s">
        <v>513</v>
      </c>
      <c r="B206" s="12" t="str">
        <f>VLOOKUP(A206,'US Employee Payroll Cleaned'!G:N,2,FALSE)</f>
        <v xml:space="preserve"> ROSCHEN, MARK E</v>
      </c>
      <c r="C206" s="61">
        <f>INDEX('US Employee Payroll Cleaned'!A:A,MATCH('Lookup Sheet'!A206,'US Employee Payroll Cleaned'!G:G,0))</f>
        <v>4534</v>
      </c>
      <c r="D206" s="56" t="str">
        <f>_xlfn.XLOOKUP(A206,'US Employee Payroll Cleaned'!G:G,'US Employee Payroll Cleaned'!H:H,"Not found")</f>
        <v xml:space="preserve"> ROSCHEN, MARK E</v>
      </c>
    </row>
    <row r="207" spans="1:4" x14ac:dyDescent="0.25">
      <c r="A207" s="21" t="s">
        <v>597</v>
      </c>
      <c r="B207" s="12" t="str">
        <f>VLOOKUP(A207,'US Employee Payroll Cleaned'!G:N,2,FALSE)</f>
        <v xml:space="preserve"> CUVALO, DIJANA</v>
      </c>
      <c r="C207" s="61">
        <f>INDEX('US Employee Payroll Cleaned'!A:A,MATCH('Lookup Sheet'!A207,'US Employee Payroll Cleaned'!G:G,0))</f>
        <v>5088</v>
      </c>
      <c r="D207" s="56" t="str">
        <f>_xlfn.XLOOKUP(A207,'US Employee Payroll Cleaned'!G:G,'US Employee Payroll Cleaned'!H:H,"Not found")</f>
        <v xml:space="preserve"> CUVALO, DIJANA</v>
      </c>
    </row>
    <row r="208" spans="1:4" x14ac:dyDescent="0.25">
      <c r="A208" s="21" t="s">
        <v>93</v>
      </c>
      <c r="B208" s="12" t="str">
        <f>VLOOKUP(A208,'US Employee Payroll Cleaned'!G:N,2,FALSE)</f>
        <v xml:space="preserve"> NELSON, GABRIELLA M</v>
      </c>
      <c r="C208" s="61">
        <f>INDEX('US Employee Payroll Cleaned'!A:A,MATCH('Lookup Sheet'!A208,'US Employee Payroll Cleaned'!G:G,0))</f>
        <v>3607.5</v>
      </c>
      <c r="D208" s="56" t="str">
        <f>_xlfn.XLOOKUP(A208,'US Employee Payroll Cleaned'!G:G,'US Employee Payroll Cleaned'!H:H,"Not found")</f>
        <v xml:space="preserve"> NELSON, GABRIELLA M</v>
      </c>
    </row>
    <row r="209" spans="1:4" x14ac:dyDescent="0.25">
      <c r="A209" s="21" t="s">
        <v>604</v>
      </c>
      <c r="B209" s="12" t="str">
        <f>VLOOKUP(A209,'US Employee Payroll Cleaned'!G:N,2,FALSE)</f>
        <v xml:space="preserve"> NOVARA, MARISA C</v>
      </c>
      <c r="C209" s="61">
        <f>INDEX('US Employee Payroll Cleaned'!A:A,MATCH('Lookup Sheet'!A209,'US Employee Payroll Cleaned'!G:G,0))</f>
        <v>7916.5</v>
      </c>
      <c r="D209" s="56" t="str">
        <f>_xlfn.XLOOKUP(A209,'US Employee Payroll Cleaned'!G:G,'US Employee Payroll Cleaned'!H:H,"Not found")</f>
        <v xml:space="preserve"> NOVARA, MARISA C</v>
      </c>
    </row>
    <row r="210" spans="1:4" x14ac:dyDescent="0.25">
      <c r="A210" s="21" t="s">
        <v>372</v>
      </c>
      <c r="B210" s="12" t="str">
        <f>VLOOKUP(A210,'US Employee Payroll Cleaned'!G:N,2,FALSE)</f>
        <v xml:space="preserve"> BARTLETT, KYLE W</v>
      </c>
      <c r="C210" s="61">
        <f>INDEX('US Employee Payroll Cleaned'!A:A,MATCH('Lookup Sheet'!A210,'US Employee Payroll Cleaned'!G:G,0))</f>
        <v>4534</v>
      </c>
      <c r="D210" s="56" t="str">
        <f>_xlfn.XLOOKUP(A210,'US Employee Payroll Cleaned'!G:G,'US Employee Payroll Cleaned'!H:H,"Not found")</f>
        <v xml:space="preserve"> BARTLETT, KYLE W</v>
      </c>
    </row>
    <row r="211" spans="1:4" x14ac:dyDescent="0.25">
      <c r="A211" s="21" t="s">
        <v>304</v>
      </c>
      <c r="B211" s="12" t="str">
        <f>VLOOKUP(A211,'US Employee Payroll Cleaned'!G:N,2,FALSE)</f>
        <v xml:space="preserve"> RESA, VICTOR T</v>
      </c>
      <c r="C211" s="61">
        <f>INDEX('US Employee Payroll Cleaned'!A:A,MATCH('Lookup Sheet'!A211,'US Employee Payroll Cleaned'!G:G,0))</f>
        <v>4536</v>
      </c>
      <c r="D211" s="56" t="str">
        <f>_xlfn.XLOOKUP(A211,'US Employee Payroll Cleaned'!G:G,'US Employee Payroll Cleaned'!H:H,"Not found")</f>
        <v xml:space="preserve"> RESA, VICTOR T</v>
      </c>
    </row>
    <row r="212" spans="1:4" x14ac:dyDescent="0.25">
      <c r="A212" s="21" t="s">
        <v>610</v>
      </c>
      <c r="B212" s="12" t="str">
        <f>VLOOKUP(A212,'US Employee Payroll Cleaned'!G:N,2,FALSE)</f>
        <v xml:space="preserve"> DUNKLEY, WILLIAM J</v>
      </c>
      <c r="C212" s="61">
        <f>INDEX('US Employee Payroll Cleaned'!A:A,MATCH('Lookup Sheet'!A212,'US Employee Payroll Cleaned'!G:G,0))</f>
        <v>2665.5</v>
      </c>
      <c r="D212" s="56" t="str">
        <f>_xlfn.XLOOKUP(A212,'US Employee Payroll Cleaned'!G:G,'US Employee Payroll Cleaned'!H:H,"Not found")</f>
        <v xml:space="preserve"> DUNKLEY, WILLIAM J</v>
      </c>
    </row>
    <row r="213" spans="1:4" x14ac:dyDescent="0.25">
      <c r="A213" s="21" t="s">
        <v>399</v>
      </c>
      <c r="B213" s="12" t="str">
        <f>VLOOKUP(A213,'US Employee Payroll Cleaned'!G:N,2,FALSE)</f>
        <v xml:space="preserve"> PENA, ANTONIO G</v>
      </c>
      <c r="C213" s="61">
        <f>INDEX('US Employee Payroll Cleaned'!A:A,MATCH('Lookup Sheet'!A213,'US Employee Payroll Cleaned'!G:G,0))</f>
        <v>2665.5</v>
      </c>
      <c r="D213" s="56" t="str">
        <f>_xlfn.XLOOKUP(A213,'US Employee Payroll Cleaned'!G:G,'US Employee Payroll Cleaned'!H:H,"Not found")</f>
        <v xml:space="preserve"> PENA, ANTONIO G</v>
      </c>
    </row>
    <row r="214" spans="1:4" x14ac:dyDescent="0.25">
      <c r="A214" s="21" t="s">
        <v>81</v>
      </c>
      <c r="B214" s="12" t="str">
        <f>VLOOKUP(A214,'US Employee Payroll Cleaned'!G:N,2,FALSE)</f>
        <v xml:space="preserve"> BERAN, PETER D</v>
      </c>
      <c r="C214" s="61">
        <f>INDEX('US Employee Payroll Cleaned'!A:A,MATCH('Lookup Sheet'!A214,'US Employee Payroll Cleaned'!G:G,0))</f>
        <v>3240.5</v>
      </c>
      <c r="D214" s="56" t="str">
        <f>_xlfn.XLOOKUP(A214,'US Employee Payroll Cleaned'!G:G,'US Employee Payroll Cleaned'!H:H,"Not found")</f>
        <v xml:space="preserve"> BERAN, PETER D</v>
      </c>
    </row>
    <row r="215" spans="1:4" x14ac:dyDescent="0.25">
      <c r="A215" s="21" t="s">
        <v>350</v>
      </c>
      <c r="B215" s="12" t="str">
        <f>VLOOKUP(A215,'US Employee Payroll Cleaned'!G:N,2,FALSE)</f>
        <v xml:space="preserve"> MARTINEZ, SAMIE</v>
      </c>
      <c r="C215" s="61">
        <f>INDEX('US Employee Payroll Cleaned'!A:A,MATCH('Lookup Sheet'!A215,'US Employee Payroll Cleaned'!G:G,0))</f>
        <v>3166.5</v>
      </c>
      <c r="D215" s="56" t="str">
        <f>_xlfn.XLOOKUP(A215,'US Employee Payroll Cleaned'!G:G,'US Employee Payroll Cleaned'!H:H,"Not found")</f>
        <v xml:space="preserve"> MARTINEZ, SAMIE</v>
      </c>
    </row>
    <row r="216" spans="1:4" x14ac:dyDescent="0.25">
      <c r="A216" s="21" t="s">
        <v>390</v>
      </c>
      <c r="B216" s="12" t="str">
        <f>VLOOKUP(A216,'US Employee Payroll Cleaned'!G:N,2,FALSE)</f>
        <v xml:space="preserve"> GARCIA, GERARDO</v>
      </c>
      <c r="C216" s="61">
        <f>INDEX('US Employee Payroll Cleaned'!A:A,MATCH('Lookup Sheet'!A216,'US Employee Payroll Cleaned'!G:G,0))</f>
        <v>5317</v>
      </c>
      <c r="D216" s="56" t="str">
        <f>_xlfn.XLOOKUP(A216,'US Employee Payroll Cleaned'!G:G,'US Employee Payroll Cleaned'!H:H,"Not found")</f>
        <v xml:space="preserve"> GARCIA, GERARDO</v>
      </c>
    </row>
    <row r="217" spans="1:4" x14ac:dyDescent="0.25">
      <c r="A217" s="21" t="s">
        <v>292</v>
      </c>
      <c r="B217" s="12" t="str">
        <f>VLOOKUP(A217,'US Employee Payroll Cleaned'!G:N,2,FALSE)</f>
        <v xml:space="preserve"> ROUBIK, CYNTHIA J</v>
      </c>
      <c r="C217" s="61">
        <f>INDEX('US Employee Payroll Cleaned'!A:A,MATCH('Lookup Sheet'!A217,'US Employee Payroll Cleaned'!G:G,0))</f>
        <v>5317</v>
      </c>
      <c r="D217" s="56" t="str">
        <f>_xlfn.XLOOKUP(A217,'US Employee Payroll Cleaned'!G:G,'US Employee Payroll Cleaned'!H:H,"Not found")</f>
        <v xml:space="preserve"> ROUBIK, CYNTHIA J</v>
      </c>
    </row>
    <row r="218" spans="1:4" x14ac:dyDescent="0.25">
      <c r="A218" s="21" t="s">
        <v>412</v>
      </c>
      <c r="B218" s="12" t="str">
        <f>VLOOKUP(A218,'US Employee Payroll Cleaned'!G:N,2,FALSE)</f>
        <v xml:space="preserve"> WHEATEN, KEISHA J</v>
      </c>
      <c r="C218" s="61">
        <f>INDEX('US Employee Payroll Cleaned'!A:A,MATCH('Lookup Sheet'!A218,'US Employee Payroll Cleaned'!G:G,0))</f>
        <v>3467</v>
      </c>
      <c r="D218" s="56" t="str">
        <f>_xlfn.XLOOKUP(A218,'US Employee Payroll Cleaned'!G:G,'US Employee Payroll Cleaned'!H:H,"Not found")</f>
        <v xml:space="preserve"> WHEATEN, KEISHA J</v>
      </c>
    </row>
    <row r="219" spans="1:4" x14ac:dyDescent="0.25">
      <c r="A219" s="51" t="s">
        <v>547</v>
      </c>
      <c r="B219" s="12" t="str">
        <f>VLOOKUP(A219,'US Employee Payroll Cleaned'!G:N,2,FALSE)</f>
        <v xml:space="preserve"> JONES, VONETTA W</v>
      </c>
      <c r="C219" s="61">
        <f>INDEX('US Employee Payroll Cleaned'!A:A,MATCH('Lookup Sheet'!A219,'US Employee Payroll Cleaned'!G:G,0))</f>
        <v>3398</v>
      </c>
      <c r="D219" s="56" t="str">
        <f>_xlfn.XLOOKUP(A219,'US Employee Payroll Cleaned'!G:G,'US Employee Payroll Cleaned'!H:H,"Not found")</f>
        <v xml:space="preserve"> JONES, VONETTA W</v>
      </c>
    </row>
    <row r="220" spans="1:4" x14ac:dyDescent="0.25">
      <c r="A220" s="21" t="s">
        <v>622</v>
      </c>
      <c r="B220" s="12" t="str">
        <f>VLOOKUP(A220,'US Employee Payroll Cleaned'!G:N,2,FALSE)</f>
        <v xml:space="preserve"> ESENBERG, BRYAN</v>
      </c>
      <c r="C220" s="61">
        <f>INDEX('US Employee Payroll Cleaned'!A:A,MATCH('Lookup Sheet'!A220,'US Employee Payroll Cleaned'!G:G,0))</f>
        <v>6502.5</v>
      </c>
      <c r="D220" s="56" t="str">
        <f>_xlfn.XLOOKUP(A220,'US Employee Payroll Cleaned'!G:G,'US Employee Payroll Cleaned'!H:H,"Not found")</f>
        <v xml:space="preserve"> ESENBERG, BRYAN</v>
      </c>
    </row>
    <row r="221" spans="1:4" x14ac:dyDescent="0.25">
      <c r="A221" s="21" t="s">
        <v>626</v>
      </c>
      <c r="B221" s="12" t="str">
        <f>VLOOKUP(A221,'US Employee Payroll Cleaned'!G:N,2,FALSE)</f>
        <v xml:space="preserve"> MALAKPOUR, SOUSAN</v>
      </c>
      <c r="C221" s="61">
        <f>INDEX('US Employee Payroll Cleaned'!A:A,MATCH('Lookup Sheet'!A221,'US Employee Payroll Cleaned'!G:G,0))</f>
        <v>3867.5</v>
      </c>
      <c r="D221" s="56" t="str">
        <f>_xlfn.XLOOKUP(A221,'US Employee Payroll Cleaned'!G:G,'US Employee Payroll Cleaned'!H:H,"Not found")</f>
        <v xml:space="preserve"> MALAKPOUR, SOUSAN</v>
      </c>
    </row>
    <row r="222" spans="1:4" x14ac:dyDescent="0.25">
      <c r="A222" s="21" t="s">
        <v>335</v>
      </c>
      <c r="B222" s="12" t="str">
        <f>VLOOKUP(A222,'US Employee Payroll Cleaned'!G:N,2,FALSE)</f>
        <v xml:space="preserve"> RODRIGUEZ, VELIA C</v>
      </c>
      <c r="C222" s="61">
        <f>INDEX('US Employee Payroll Cleaned'!A:A,MATCH('Lookup Sheet'!A222,'US Employee Payroll Cleaned'!G:G,0))</f>
        <v>2828</v>
      </c>
      <c r="D222" s="56" t="str">
        <f>_xlfn.XLOOKUP(A222,'US Employee Payroll Cleaned'!G:G,'US Employee Payroll Cleaned'!H:H,"Not found")</f>
        <v xml:space="preserve"> RODRIGUEZ, VELIA C</v>
      </c>
    </row>
    <row r="223" spans="1:4" x14ac:dyDescent="0.25">
      <c r="A223" s="21" t="s">
        <v>399</v>
      </c>
      <c r="B223" s="12" t="str">
        <f>VLOOKUP(A223,'US Employee Payroll Cleaned'!G:N,2,FALSE)</f>
        <v xml:space="preserve"> PENA, ANTONIO G</v>
      </c>
      <c r="C223" s="61">
        <f>INDEX('US Employee Payroll Cleaned'!A:A,MATCH('Lookup Sheet'!A223,'US Employee Payroll Cleaned'!G:G,0))</f>
        <v>2665.5</v>
      </c>
      <c r="D223" s="56" t="str">
        <f>_xlfn.XLOOKUP(A223,'US Employee Payroll Cleaned'!G:G,'US Employee Payroll Cleaned'!H:H,"Not found")</f>
        <v xml:space="preserve"> PENA, ANTONIO G</v>
      </c>
    </row>
    <row r="224" spans="1:4" x14ac:dyDescent="0.25">
      <c r="A224" s="21" t="s">
        <v>376</v>
      </c>
      <c r="B224" s="12" t="str">
        <f>VLOOKUP(A224,'US Employee Payroll Cleaned'!G:N,2,FALSE)</f>
        <v xml:space="preserve"> HILL, JANICE D</v>
      </c>
      <c r="C224" s="61">
        <f>INDEX('US Employee Payroll Cleaned'!A:A,MATCH('Lookup Sheet'!A224,'US Employee Payroll Cleaned'!G:G,0))</f>
        <v>4280.5</v>
      </c>
      <c r="D224" s="56" t="str">
        <f>_xlfn.XLOOKUP(A224,'US Employee Payroll Cleaned'!G:G,'US Employee Payroll Cleaned'!H:H,"Not found")</f>
        <v xml:space="preserve"> HILL, JANICE D</v>
      </c>
    </row>
    <row r="225" spans="1:4" x14ac:dyDescent="0.25">
      <c r="A225" s="21" t="s">
        <v>544</v>
      </c>
      <c r="B225" s="12" t="str">
        <f>VLOOKUP(A225,'US Employee Payroll Cleaned'!G:N,2,FALSE)</f>
        <v xml:space="preserve"> CLAYTON, LOUIS R</v>
      </c>
      <c r="C225" s="61">
        <f>INDEX('US Employee Payroll Cleaned'!A:A,MATCH('Lookup Sheet'!A225,'US Employee Payroll Cleaned'!G:G,0))</f>
        <v>3250</v>
      </c>
      <c r="D225" s="56" t="str">
        <f>_xlfn.XLOOKUP(A225,'US Employee Payroll Cleaned'!G:G,'US Employee Payroll Cleaned'!H:H,"Not found")</f>
        <v xml:space="preserve"> CLAYTON, LOUIS R</v>
      </c>
    </row>
    <row r="226" spans="1:4" x14ac:dyDescent="0.25">
      <c r="A226" s="21" t="s">
        <v>633</v>
      </c>
      <c r="B226" s="12" t="str">
        <f>VLOOKUP(A226,'US Employee Payroll Cleaned'!G:N,2,FALSE)</f>
        <v xml:space="preserve"> LYON, MAXIMILIAN D</v>
      </c>
      <c r="C226" s="61">
        <f>INDEX('US Employee Payroll Cleaned'!A:A,MATCH('Lookup Sheet'!A226,'US Employee Payroll Cleaned'!G:G,0))</f>
        <v>3250</v>
      </c>
      <c r="D226" s="56" t="str">
        <f>_xlfn.XLOOKUP(A226,'US Employee Payroll Cleaned'!G:G,'US Employee Payroll Cleaned'!H:H,"Not found")</f>
        <v xml:space="preserve"> LYON, MAXIMILIAN D</v>
      </c>
    </row>
    <row r="227" spans="1:4" x14ac:dyDescent="0.25">
      <c r="A227" s="21" t="s">
        <v>636</v>
      </c>
      <c r="B227" s="12" t="str">
        <f>VLOOKUP(A227,'US Employee Payroll Cleaned'!G:N,2,FALSE)</f>
        <v xml:space="preserve"> ESPINOZA, FERNANDO</v>
      </c>
      <c r="C227" s="61">
        <f>INDEX('US Employee Payroll Cleaned'!A:A,MATCH('Lookup Sheet'!A227,'US Employee Payroll Cleaned'!G:G,0))</f>
        <v>4274</v>
      </c>
      <c r="D227" s="56" t="str">
        <f>_xlfn.XLOOKUP(A227,'US Employee Payroll Cleaned'!G:G,'US Employee Payroll Cleaned'!H:H,"Not found")</f>
        <v xml:space="preserve"> ESPINOZA, FERNANDO</v>
      </c>
    </row>
    <row r="228" spans="1:4" x14ac:dyDescent="0.25">
      <c r="A228" s="21" t="s">
        <v>315</v>
      </c>
      <c r="B228" s="12" t="str">
        <f>VLOOKUP(A228,'US Employee Payroll Cleaned'!G:N,2,FALSE)</f>
        <v xml:space="preserve"> KLAIBER, DANIEL R</v>
      </c>
      <c r="C228" s="61">
        <f>INDEX('US Employee Payroll Cleaned'!A:A,MATCH('Lookup Sheet'!A228,'US Employee Payroll Cleaned'!G:G,0))</f>
        <v>4444.5</v>
      </c>
      <c r="D228" s="56" t="str">
        <f>_xlfn.XLOOKUP(A228,'US Employee Payroll Cleaned'!G:G,'US Employee Payroll Cleaned'!H:H,"Not found")</f>
        <v xml:space="preserve"> KLAIBER, DANIEL R</v>
      </c>
    </row>
    <row r="229" spans="1:4" x14ac:dyDescent="0.25">
      <c r="A229" s="21" t="s">
        <v>105</v>
      </c>
      <c r="B229" s="12" t="str">
        <f>VLOOKUP(A229,'US Employee Payroll Cleaned'!G:N,2,FALSE)</f>
        <v xml:space="preserve"> THOMPSON, TAYLOR J</v>
      </c>
      <c r="C229" s="61">
        <f>INDEX('US Employee Payroll Cleaned'!A:A,MATCH('Lookup Sheet'!A229,'US Employee Payroll Cleaned'!G:G,0))</f>
        <v>2708</v>
      </c>
      <c r="D229" s="56" t="str">
        <f>_xlfn.XLOOKUP(A229,'US Employee Payroll Cleaned'!G:G,'US Employee Payroll Cleaned'!H:H,"Not found")</f>
        <v xml:space="preserve"> THOMPSON, TAYLOR J</v>
      </c>
    </row>
    <row r="230" spans="1:4" x14ac:dyDescent="0.25">
      <c r="A230" s="21" t="s">
        <v>497</v>
      </c>
      <c r="B230" s="12" t="str">
        <f>VLOOKUP(A230,'US Employee Payroll Cleaned'!G:N,2,FALSE)</f>
        <v xml:space="preserve"> GARZA, CYNTHIA A</v>
      </c>
      <c r="C230" s="61">
        <f>INDEX('US Employee Payroll Cleaned'!A:A,MATCH('Lookup Sheet'!A230,'US Employee Payroll Cleaned'!G:G,0))</f>
        <v>4487.5</v>
      </c>
      <c r="D230" s="56" t="str">
        <f>_xlfn.XLOOKUP(A230,'US Employee Payroll Cleaned'!G:G,'US Employee Payroll Cleaned'!H:H,"Not found")</f>
        <v xml:space="preserve"> GARZA, CYNTHIA A</v>
      </c>
    </row>
    <row r="231" spans="1:4" x14ac:dyDescent="0.25">
      <c r="A231" s="21" t="s">
        <v>93</v>
      </c>
      <c r="B231" s="12" t="str">
        <f>VLOOKUP(A231,'US Employee Payroll Cleaned'!G:N,2,FALSE)</f>
        <v xml:space="preserve"> NELSON, GABRIELLA M</v>
      </c>
      <c r="C231" s="61">
        <f>INDEX('US Employee Payroll Cleaned'!A:A,MATCH('Lookup Sheet'!A231,'US Employee Payroll Cleaned'!G:G,0))</f>
        <v>3607.5</v>
      </c>
      <c r="D231" s="56" t="str">
        <f>_xlfn.XLOOKUP(A231,'US Employee Payroll Cleaned'!G:G,'US Employee Payroll Cleaned'!H:H,"Not found")</f>
        <v xml:space="preserve"> NELSON, GABRIELLA M</v>
      </c>
    </row>
    <row r="232" spans="1:4" x14ac:dyDescent="0.25">
      <c r="A232" s="21" t="s">
        <v>34</v>
      </c>
      <c r="B232" s="12" t="str">
        <f>VLOOKUP(A232,'US Employee Payroll Cleaned'!G:N,2,FALSE)</f>
        <v xml:space="preserve"> GRAYER, SHELIA D</v>
      </c>
      <c r="C232" s="61">
        <f>INDEX('US Employee Payroll Cleaned'!A:A,MATCH('Lookup Sheet'!A232,'US Employee Payroll Cleaned'!G:G,0))</f>
        <v>3902.5</v>
      </c>
      <c r="D232" s="56" t="str">
        <f>_xlfn.XLOOKUP(A232,'US Employee Payroll Cleaned'!G:G,'US Employee Payroll Cleaned'!H:H,"Not found")</f>
        <v xml:space="preserve"> GRAYER, SHELIA D</v>
      </c>
    </row>
    <row r="233" spans="1:4" x14ac:dyDescent="0.25">
      <c r="A233" s="21" t="s">
        <v>568</v>
      </c>
      <c r="B233" s="12" t="str">
        <f>VLOOKUP(A233,'US Employee Payroll Cleaned'!G:N,2,FALSE)</f>
        <v xml:space="preserve"> DUPLAGA, ALICIA</v>
      </c>
      <c r="C233" s="61">
        <f>INDEX('US Employee Payroll Cleaned'!A:A,MATCH('Lookup Sheet'!A233,'US Employee Payroll Cleaned'!G:G,0))</f>
        <v>3902.5</v>
      </c>
      <c r="D233" s="56" t="str">
        <f>_xlfn.XLOOKUP(A233,'US Employee Payroll Cleaned'!G:G,'US Employee Payroll Cleaned'!H:H,"Not found")</f>
        <v xml:space="preserve"> DUPLAGA, ALICIA</v>
      </c>
    </row>
    <row r="234" spans="1:4" x14ac:dyDescent="0.25">
      <c r="A234" s="21" t="s">
        <v>50</v>
      </c>
      <c r="B234" s="12" t="str">
        <f>VLOOKUP(A234,'US Employee Payroll Cleaned'!G:N,2,FALSE)</f>
        <v xml:space="preserve"> BARTON, EMILY M</v>
      </c>
      <c r="C234" s="61">
        <f>INDEX('US Employee Payroll Cleaned'!A:A,MATCH('Lookup Sheet'!A234,'US Employee Payroll Cleaned'!G:G,0))</f>
        <v>3340.5</v>
      </c>
      <c r="D234" s="56" t="str">
        <f>_xlfn.XLOOKUP(A234,'US Employee Payroll Cleaned'!G:G,'US Employee Payroll Cleaned'!H:H,"Not found")</f>
        <v xml:space="preserve"> BARTON, EMILY M</v>
      </c>
    </row>
    <row r="235" spans="1:4" x14ac:dyDescent="0.25">
      <c r="A235" s="21" t="s">
        <v>202</v>
      </c>
      <c r="B235" s="12" t="str">
        <f>VLOOKUP(A235,'US Employee Payroll Cleaned'!G:N,2,FALSE)</f>
        <v xml:space="preserve"> MORGAN, LASHONDA L</v>
      </c>
      <c r="C235" s="61">
        <f>INDEX('US Employee Payroll Cleaned'!A:A,MATCH('Lookup Sheet'!A235,'US Employee Payroll Cleaned'!G:G,0))</f>
        <v>3394.5</v>
      </c>
      <c r="D235" s="56" t="str">
        <f>_xlfn.XLOOKUP(A235,'US Employee Payroll Cleaned'!G:G,'US Employee Payroll Cleaned'!H:H,"Not found")</f>
        <v xml:space="preserve"> MORGAN, LASHONDA L</v>
      </c>
    </row>
    <row r="236" spans="1:4" x14ac:dyDescent="0.25">
      <c r="A236" s="21" t="s">
        <v>213</v>
      </c>
      <c r="B236" s="12" t="str">
        <f>VLOOKUP(A236,'US Employee Payroll Cleaned'!G:N,2,FALSE)</f>
        <v xml:space="preserve"> HOLLAND, WILLIAM R</v>
      </c>
      <c r="C236" s="61">
        <f>INDEX('US Employee Payroll Cleaned'!A:A,MATCH('Lookup Sheet'!A236,'US Employee Payroll Cleaned'!G:G,0))</f>
        <v>3250</v>
      </c>
      <c r="D236" s="56" t="str">
        <f>_xlfn.XLOOKUP(A236,'US Employee Payroll Cleaned'!G:G,'US Employee Payroll Cleaned'!H:H,"Not found")</f>
        <v xml:space="preserve"> HOLLAND, WILLIAM R</v>
      </c>
    </row>
    <row r="237" spans="1:4" x14ac:dyDescent="0.25">
      <c r="A237" s="21" t="s">
        <v>633</v>
      </c>
      <c r="B237" s="12" t="str">
        <f>VLOOKUP(A237,'US Employee Payroll Cleaned'!G:N,2,FALSE)</f>
        <v xml:space="preserve"> LYON, MAXIMILIAN D</v>
      </c>
      <c r="C237" s="61">
        <f>INDEX('US Employee Payroll Cleaned'!A:A,MATCH('Lookup Sheet'!A237,'US Employee Payroll Cleaned'!G:G,0))</f>
        <v>3250</v>
      </c>
      <c r="D237" s="56" t="str">
        <f>_xlfn.XLOOKUP(A237,'US Employee Payroll Cleaned'!G:G,'US Employee Payroll Cleaned'!H:H,"Not found")</f>
        <v xml:space="preserve"> LYON, MAXIMILIAN D</v>
      </c>
    </row>
    <row r="238" spans="1:4" x14ac:dyDescent="0.25">
      <c r="A238" s="21" t="s">
        <v>162</v>
      </c>
      <c r="B238" s="12" t="str">
        <f>VLOOKUP(A238,'US Employee Payroll Cleaned'!G:N,2,FALSE)</f>
        <v xml:space="preserve"> TAYLOR, TYLER H</v>
      </c>
      <c r="C238" s="61">
        <f>INDEX('US Employee Payroll Cleaned'!A:A,MATCH('Lookup Sheet'!A238,'US Employee Payroll Cleaned'!G:G,0))</f>
        <v>2934.5</v>
      </c>
      <c r="D238" s="56" t="str">
        <f>_xlfn.XLOOKUP(A238,'US Employee Payroll Cleaned'!G:G,'US Employee Payroll Cleaned'!H:H,"Not found")</f>
        <v xml:space="preserve"> TAYLOR, TYLER H</v>
      </c>
    </row>
    <row r="239" spans="1:4" x14ac:dyDescent="0.25">
      <c r="A239" s="21" t="s">
        <v>387</v>
      </c>
      <c r="B239" s="12" t="str">
        <f>VLOOKUP(A239,'US Employee Payroll Cleaned'!G:N,2,FALSE)</f>
        <v xml:space="preserve"> RAMOS, JOYCE I</v>
      </c>
      <c r="C239" s="61">
        <f>INDEX('US Employee Payroll Cleaned'!A:A,MATCH('Lookup Sheet'!A239,'US Employee Payroll Cleaned'!G:G,0))</f>
        <v>3340.5</v>
      </c>
      <c r="D239" s="56" t="str">
        <f>_xlfn.XLOOKUP(A239,'US Employee Payroll Cleaned'!G:G,'US Employee Payroll Cleaned'!H:H,"Not found")</f>
        <v xml:space="preserve"> RAMOS, JOYCE I</v>
      </c>
    </row>
    <row r="240" spans="1:4" x14ac:dyDescent="0.25">
      <c r="A240" s="21" t="s">
        <v>654</v>
      </c>
      <c r="B240" s="12" t="str">
        <f>VLOOKUP(A240,'US Employee Payroll Cleaned'!G:N,2,FALSE)</f>
        <v xml:space="preserve"> COX, MAURICE D</v>
      </c>
      <c r="C240" s="61">
        <f>INDEX('US Employee Payroll Cleaned'!A:A,MATCH('Lookup Sheet'!A240,'US Employee Payroll Cleaned'!G:G,0))</f>
        <v>8123.5</v>
      </c>
      <c r="D240" s="56" t="str">
        <f>_xlfn.XLOOKUP(A240,'US Employee Payroll Cleaned'!G:G,'US Employee Payroll Cleaned'!H:H,"Not found")</f>
        <v xml:space="preserve"> COX, MAURICE D</v>
      </c>
    </row>
    <row r="241" spans="1:4" x14ac:dyDescent="0.25">
      <c r="A241" s="21" t="s">
        <v>175</v>
      </c>
      <c r="B241" s="12" t="str">
        <f>VLOOKUP(A241,'US Employee Payroll Cleaned'!G:N,2,FALSE)</f>
        <v xml:space="preserve"> HILL, SAMANTHA</v>
      </c>
      <c r="C241" s="61">
        <f>INDEX('US Employee Payroll Cleaned'!A:A,MATCH('Lookup Sheet'!A241,'US Employee Payroll Cleaned'!G:G,0))</f>
        <v>3055.5</v>
      </c>
      <c r="D241" s="56" t="str">
        <f>_xlfn.XLOOKUP(A241,'US Employee Payroll Cleaned'!G:G,'US Employee Payroll Cleaned'!H:H,"Not found")</f>
        <v xml:space="preserve"> HILL, SAMANTHA</v>
      </c>
    </row>
    <row r="242" spans="1:4" x14ac:dyDescent="0.25">
      <c r="A242" s="21" t="s">
        <v>299</v>
      </c>
      <c r="B242" s="12" t="str">
        <f>VLOOKUP(A242,'US Employee Payroll Cleaned'!G:N,2,FALSE)</f>
        <v xml:space="preserve"> COLLINS, KATRINA M</v>
      </c>
      <c r="C242" s="61">
        <f>INDEX('US Employee Payroll Cleaned'!A:A,MATCH('Lookup Sheet'!A242,'US Employee Payroll Cleaned'!G:G,0))</f>
        <v>3398</v>
      </c>
      <c r="D242" s="56" t="str">
        <f>_xlfn.XLOOKUP(A242,'US Employee Payroll Cleaned'!G:G,'US Employee Payroll Cleaned'!H:H,"Not found")</f>
        <v xml:space="preserve"> COLLINS, KATRINA M</v>
      </c>
    </row>
    <row r="243" spans="1:4" x14ac:dyDescent="0.25">
      <c r="A243" s="51" t="s">
        <v>660</v>
      </c>
      <c r="B243" s="12" t="str">
        <f>VLOOKUP(A243,'US Employee Payroll Cleaned'!G:N,2,FALSE)</f>
        <v xml:space="preserve"> MAYFIELD, ALEXIS S</v>
      </c>
      <c r="C243" s="61">
        <f>INDEX('US Employee Payroll Cleaned'!A:A,MATCH('Lookup Sheet'!A243,'US Employee Payroll Cleaned'!G:G,0))</f>
        <v>2783.5</v>
      </c>
      <c r="D243" s="56" t="str">
        <f>_xlfn.XLOOKUP(A243,'US Employee Payroll Cleaned'!G:G,'US Employee Payroll Cleaned'!H:H,"Not found")</f>
        <v xml:space="preserve"> MAYFIELD, ALEXIS S</v>
      </c>
    </row>
    <row r="244" spans="1:4" x14ac:dyDescent="0.25">
      <c r="A244" s="21" t="s">
        <v>604</v>
      </c>
      <c r="B244" s="12" t="str">
        <f>VLOOKUP(A244,'US Employee Payroll Cleaned'!G:N,2,FALSE)</f>
        <v xml:space="preserve"> NOVARA, MARISA C</v>
      </c>
      <c r="C244" s="61">
        <f>INDEX('US Employee Payroll Cleaned'!A:A,MATCH('Lookup Sheet'!A244,'US Employee Payroll Cleaned'!G:G,0))</f>
        <v>7916.5</v>
      </c>
      <c r="D244" s="56" t="str">
        <f>_xlfn.XLOOKUP(A244,'US Employee Payroll Cleaned'!G:G,'US Employee Payroll Cleaned'!H:H,"Not found")</f>
        <v xml:space="preserve"> NOVARA, MARISA C</v>
      </c>
    </row>
    <row r="245" spans="1:4" x14ac:dyDescent="0.25">
      <c r="A245" s="21" t="s">
        <v>34</v>
      </c>
      <c r="B245" s="12" t="str">
        <f>VLOOKUP(A245,'US Employee Payroll Cleaned'!G:N,2,FALSE)</f>
        <v xml:space="preserve"> GRAYER, SHELIA D</v>
      </c>
      <c r="C245" s="61">
        <f>INDEX('US Employee Payroll Cleaned'!A:A,MATCH('Lookup Sheet'!A245,'US Employee Payroll Cleaned'!G:G,0))</f>
        <v>3902.5</v>
      </c>
      <c r="D245" s="56" t="str">
        <f>_xlfn.XLOOKUP(A245,'US Employee Payroll Cleaned'!G:G,'US Employee Payroll Cleaned'!H:H,"Not found")</f>
        <v xml:space="preserve"> GRAYER, SHELIA D</v>
      </c>
    </row>
    <row r="246" spans="1:4" x14ac:dyDescent="0.25">
      <c r="A246" s="21" t="s">
        <v>670</v>
      </c>
      <c r="B246" s="12" t="str">
        <f>VLOOKUP(A246,'US Employee Payroll Cleaned'!G:N,2,FALSE)</f>
        <v xml:space="preserve"> SCHREMP, JAMES R</v>
      </c>
      <c r="C246" s="61">
        <f>INDEX('US Employee Payroll Cleaned'!A:A,MATCH('Lookup Sheet'!A246,'US Employee Payroll Cleaned'!G:G,0))</f>
        <v>2004</v>
      </c>
      <c r="D246" s="56" t="str">
        <f>_xlfn.XLOOKUP(A246,'US Employee Payroll Cleaned'!G:G,'US Employee Payroll Cleaned'!H:H,"Not found")</f>
        <v xml:space="preserve"> SCHREMP, JAMES R</v>
      </c>
    </row>
    <row r="247" spans="1:4" x14ac:dyDescent="0.25">
      <c r="A247" s="21" t="s">
        <v>263</v>
      </c>
      <c r="B247" s="12" t="str">
        <f>VLOOKUP(A247,'US Employee Payroll Cleaned'!G:N,2,FALSE)</f>
        <v xml:space="preserve"> JIRASEK, GABRIELA C</v>
      </c>
      <c r="C247" s="61">
        <f>INDEX('US Employee Payroll Cleaned'!A:A,MATCH('Lookup Sheet'!A247,'US Employee Payroll Cleaned'!G:G,0))</f>
        <v>4534</v>
      </c>
      <c r="D247" s="56" t="str">
        <f>_xlfn.XLOOKUP(A247,'US Employee Payroll Cleaned'!G:G,'US Employee Payroll Cleaned'!H:H,"Not found")</f>
        <v xml:space="preserve"> JIRASEK, GABRIELA C</v>
      </c>
    </row>
    <row r="248" spans="1:4" x14ac:dyDescent="0.25">
      <c r="A248" s="21" t="s">
        <v>146</v>
      </c>
      <c r="B248" s="12" t="str">
        <f>VLOOKUP(A248,'US Employee Payroll Cleaned'!G:N,2,FALSE)</f>
        <v xml:space="preserve"> CANNON, ANGELA</v>
      </c>
      <c r="C248" s="61">
        <f>INDEX('US Employee Payroll Cleaned'!A:A,MATCH('Lookup Sheet'!A248,'US Employee Payroll Cleaned'!G:G,0))</f>
        <v>4134.5</v>
      </c>
      <c r="D248" s="56" t="str">
        <f>_xlfn.XLOOKUP(A248,'US Employee Payroll Cleaned'!G:G,'US Employee Payroll Cleaned'!H:H,"Not found")</f>
        <v xml:space="preserve"> CANNON, ANGELA</v>
      </c>
    </row>
    <row r="249" spans="1:4" x14ac:dyDescent="0.25">
      <c r="A249" s="21" t="s">
        <v>354</v>
      </c>
      <c r="B249" s="12" t="str">
        <f>VLOOKUP(A249,'US Employee Payroll Cleaned'!G:N,2,FALSE)</f>
        <v xml:space="preserve"> MURDOCH,  JASON J</v>
      </c>
      <c r="C249" s="61">
        <f>INDEX('US Employee Payroll Cleaned'!A:A,MATCH('Lookup Sheet'!A249,'US Employee Payroll Cleaned'!G:G,0))</f>
        <v>1557.38</v>
      </c>
      <c r="D249" s="56" t="str">
        <f>_xlfn.XLOOKUP(A249,'US Employee Payroll Cleaned'!G:G,'US Employee Payroll Cleaned'!H:H,"Not found")</f>
        <v xml:space="preserve"> MURDOCH,  JASON J</v>
      </c>
    </row>
    <row r="250" spans="1:4" x14ac:dyDescent="0.25">
      <c r="A250" s="21" t="s">
        <v>610</v>
      </c>
      <c r="B250" s="12" t="str">
        <f>VLOOKUP(A250,'US Employee Payroll Cleaned'!G:N,2,FALSE)</f>
        <v xml:space="preserve"> DUNKLEY, WILLIAM J</v>
      </c>
      <c r="C250" s="61">
        <f>INDEX('US Employee Payroll Cleaned'!A:A,MATCH('Lookup Sheet'!A250,'US Employee Payroll Cleaned'!G:G,0))</f>
        <v>2665.5</v>
      </c>
      <c r="D250" s="56" t="str">
        <f>_xlfn.XLOOKUP(A250,'US Employee Payroll Cleaned'!G:G,'US Employee Payroll Cleaned'!H:H,"Not found")</f>
        <v xml:space="preserve"> DUNKLEY, WILLIAM J</v>
      </c>
    </row>
    <row r="251" spans="1:4" x14ac:dyDescent="0.25">
      <c r="A251" s="21" t="s">
        <v>399</v>
      </c>
      <c r="B251" s="12" t="str">
        <f>VLOOKUP(A251,'US Employee Payroll Cleaned'!G:N,2,FALSE)</f>
        <v xml:space="preserve"> PENA, ANTONIO G</v>
      </c>
      <c r="C251" s="61">
        <f>INDEX('US Employee Payroll Cleaned'!A:A,MATCH('Lookup Sheet'!A251,'US Employee Payroll Cleaned'!G:G,0))</f>
        <v>2665.5</v>
      </c>
      <c r="D251" s="56" t="str">
        <f>_xlfn.XLOOKUP(A251,'US Employee Payroll Cleaned'!G:G,'US Employee Payroll Cleaned'!H:H,"Not found")</f>
        <v xml:space="preserve"> PENA, ANTONIO G</v>
      </c>
    </row>
    <row r="252" spans="1:4" x14ac:dyDescent="0.25">
      <c r="A252" s="21" t="s">
        <v>683</v>
      </c>
      <c r="B252" s="12" t="str">
        <f>VLOOKUP(A252,'US Employee Payroll Cleaned'!G:N,2,FALSE)</f>
        <v xml:space="preserve"> SPERRY, HEIDI L</v>
      </c>
      <c r="C252" s="61">
        <f>INDEX('US Employee Payroll Cleaned'!A:A,MATCH('Lookup Sheet'!A252,'US Employee Payroll Cleaned'!G:G,0))</f>
        <v>4423</v>
      </c>
      <c r="D252" s="56" t="str">
        <f>_xlfn.XLOOKUP(A252,'US Employee Payroll Cleaned'!G:G,'US Employee Payroll Cleaned'!H:H,"Not found")</f>
        <v xml:space="preserve"> SPERRY, HEIDI L</v>
      </c>
    </row>
    <row r="253" spans="1:4" x14ac:dyDescent="0.25">
      <c r="A253" s="21" t="s">
        <v>590</v>
      </c>
      <c r="B253" s="12" t="str">
        <f>VLOOKUP(A253,'US Employee Payroll Cleaned'!G:N,2,FALSE)</f>
        <v xml:space="preserve"> NAPOLES, LISA G</v>
      </c>
      <c r="C253" s="61">
        <f>INDEX('US Employee Payroll Cleaned'!A:A,MATCH('Lookup Sheet'!A253,'US Employee Payroll Cleaned'!G:G,0))</f>
        <v>2783.5</v>
      </c>
      <c r="D253" s="56" t="str">
        <f>_xlfn.XLOOKUP(A253,'US Employee Payroll Cleaned'!G:G,'US Employee Payroll Cleaned'!H:H,"Not found")</f>
        <v xml:space="preserve"> NAPOLES, LISA G</v>
      </c>
    </row>
    <row r="254" spans="1:4" x14ac:dyDescent="0.25">
      <c r="A254" s="21" t="s">
        <v>688</v>
      </c>
      <c r="B254" s="12" t="str">
        <f>VLOOKUP(A254,'US Employee Payroll Cleaned'!G:N,2,FALSE)</f>
        <v xml:space="preserve"> STRAZZABOSCO, PETER L</v>
      </c>
      <c r="C254" s="61">
        <f>INDEX('US Employee Payroll Cleaned'!A:A,MATCH('Lookup Sheet'!A254,'US Employee Payroll Cleaned'!G:G,0))</f>
        <v>5317</v>
      </c>
      <c r="D254" s="56" t="str">
        <f>_xlfn.XLOOKUP(A254,'US Employee Payroll Cleaned'!G:G,'US Employee Payroll Cleaned'!H:H,"Not found")</f>
        <v xml:space="preserve"> STRAZZABOSCO, PETER L</v>
      </c>
    </row>
    <row r="255" spans="1:4" x14ac:dyDescent="0.25">
      <c r="A255" s="21" t="s">
        <v>168</v>
      </c>
      <c r="B255" s="12" t="str">
        <f>VLOOKUP(A255,'US Employee Payroll Cleaned'!G:N,2,FALSE)</f>
        <v xml:space="preserve"> SCHMITZ, MATTHEW M</v>
      </c>
      <c r="C255" s="61">
        <f>INDEX('US Employee Payroll Cleaned'!A:A,MATCH('Lookup Sheet'!A255,'US Employee Payroll Cleaned'!G:G,0))</f>
        <v>5478</v>
      </c>
      <c r="D255" s="56" t="str">
        <f>_xlfn.XLOOKUP(A255,'US Employee Payroll Cleaned'!G:G,'US Employee Payroll Cleaned'!H:H,"Not found")</f>
        <v xml:space="preserve"> SCHMITZ, MATTHEW M</v>
      </c>
    </row>
    <row r="256" spans="1:4" x14ac:dyDescent="0.25">
      <c r="A256" s="21" t="s">
        <v>694</v>
      </c>
      <c r="B256" s="12" t="str">
        <f>VLOOKUP(A256,'US Employee Payroll Cleaned'!G:N,2,FALSE)</f>
        <v xml:space="preserve"> DAFIAGHOR, ANSELL E</v>
      </c>
      <c r="C256" s="61">
        <f>INDEX('US Employee Payroll Cleaned'!A:A,MATCH('Lookup Sheet'!A256,'US Employee Payroll Cleaned'!G:G,0))</f>
        <v>-237.79</v>
      </c>
      <c r="D256" s="56" t="str">
        <f>_xlfn.XLOOKUP(A256,'US Employee Payroll Cleaned'!G:G,'US Employee Payroll Cleaned'!H:H,"Not found")</f>
        <v xml:space="preserve"> DAFIAGHOR, ANSELL E</v>
      </c>
    </row>
    <row r="257" spans="1:4" x14ac:dyDescent="0.25">
      <c r="A257" s="21" t="s">
        <v>175</v>
      </c>
      <c r="B257" s="12" t="str">
        <f>VLOOKUP(A257,'US Employee Payroll Cleaned'!G:N,2,FALSE)</f>
        <v xml:space="preserve"> HILL, SAMANTHA</v>
      </c>
      <c r="C257" s="61">
        <f>INDEX('US Employee Payroll Cleaned'!A:A,MATCH('Lookup Sheet'!A257,'US Employee Payroll Cleaned'!G:G,0))</f>
        <v>3055.5</v>
      </c>
      <c r="D257" s="56" t="str">
        <f>_xlfn.XLOOKUP(A257,'US Employee Payroll Cleaned'!G:G,'US Employee Payroll Cleaned'!H:H,"Not found")</f>
        <v xml:space="preserve"> HILL, SAMANTHA</v>
      </c>
    </row>
    <row r="258" spans="1:4" x14ac:dyDescent="0.25">
      <c r="A258" s="21" t="s">
        <v>529</v>
      </c>
      <c r="B258" s="12" t="str">
        <f>VLOOKUP(A258,'US Employee Payroll Cleaned'!G:N,2,FALSE)</f>
        <v xml:space="preserve"> MERCADO, MIKAELA N</v>
      </c>
      <c r="C258" s="61">
        <f>INDEX('US Employee Payroll Cleaned'!A:A,MATCH('Lookup Sheet'!A258,'US Employee Payroll Cleaned'!G:G,0))</f>
        <v>296.45</v>
      </c>
      <c r="D258" s="56" t="str">
        <f>_xlfn.XLOOKUP(A258,'US Employee Payroll Cleaned'!G:G,'US Employee Payroll Cleaned'!H:H,"Not found")</f>
        <v xml:space="preserve"> MERCADO, MIKAELA N</v>
      </c>
    </row>
    <row r="259" spans="1:4" x14ac:dyDescent="0.25">
      <c r="A259" s="21" t="s">
        <v>538</v>
      </c>
      <c r="B259" s="12" t="str">
        <f>VLOOKUP(A259,'US Employee Payroll Cleaned'!G:N,2,FALSE)</f>
        <v xml:space="preserve"> MICH, LUKE A</v>
      </c>
      <c r="C259" s="61">
        <f>INDEX('US Employee Payroll Cleaned'!A:A,MATCH('Lookup Sheet'!A259,'US Employee Payroll Cleaned'!G:G,0))</f>
        <v>3467</v>
      </c>
      <c r="D259" s="56" t="str">
        <f>_xlfn.XLOOKUP(A259,'US Employee Payroll Cleaned'!G:G,'US Employee Payroll Cleaned'!H:H,"Not found")</f>
        <v xml:space="preserve"> MICH, LUKE A</v>
      </c>
    </row>
    <row r="260" spans="1:4" x14ac:dyDescent="0.25">
      <c r="A260" s="21" t="s">
        <v>340</v>
      </c>
      <c r="B260" s="12" t="str">
        <f>VLOOKUP(A260,'US Employee Payroll Cleaned'!G:N,2,FALSE)</f>
        <v xml:space="preserve"> GAETA, JOSE O</v>
      </c>
      <c r="C260" s="61">
        <f>INDEX('US Employee Payroll Cleaned'!A:A,MATCH('Lookup Sheet'!A260,'US Employee Payroll Cleaned'!G:G,0))</f>
        <v>4541.5</v>
      </c>
      <c r="D260" s="56" t="str">
        <f>_xlfn.XLOOKUP(A260,'US Employee Payroll Cleaned'!G:G,'US Employee Payroll Cleaned'!H:H,"Not found")</f>
        <v xml:space="preserve"> GAETA, JOSE O</v>
      </c>
    </row>
    <row r="261" spans="1:4" x14ac:dyDescent="0.25">
      <c r="A261" s="21" t="s">
        <v>683</v>
      </c>
      <c r="B261" s="12" t="str">
        <f>VLOOKUP(A261,'US Employee Payroll Cleaned'!G:N,2,FALSE)</f>
        <v xml:space="preserve"> SPERRY, HEIDI L</v>
      </c>
      <c r="C261" s="61">
        <f>INDEX('US Employee Payroll Cleaned'!A:A,MATCH('Lookup Sheet'!A261,'US Employee Payroll Cleaned'!G:G,0))</f>
        <v>4423</v>
      </c>
      <c r="D261" s="56" t="str">
        <f>_xlfn.XLOOKUP(A261,'US Employee Payroll Cleaned'!G:G,'US Employee Payroll Cleaned'!H:H,"Not found")</f>
        <v xml:space="preserve"> SPERRY, HEIDI L</v>
      </c>
    </row>
    <row r="262" spans="1:4" x14ac:dyDescent="0.25">
      <c r="A262" s="21" t="s">
        <v>455</v>
      </c>
      <c r="B262" s="12" t="str">
        <f>VLOOKUP(A262,'US Employee Payroll Cleaned'!G:N,2,FALSE)</f>
        <v xml:space="preserve"> MARMO, MICHAEL A</v>
      </c>
      <c r="C262" s="61">
        <f>INDEX('US Employee Payroll Cleaned'!A:A,MATCH('Lookup Sheet'!A262,'US Employee Payroll Cleaned'!G:G,0))</f>
        <v>4444.5</v>
      </c>
      <c r="D262" s="56" t="str">
        <f>_xlfn.XLOOKUP(A262,'US Employee Payroll Cleaned'!G:G,'US Employee Payroll Cleaned'!H:H,"Not found")</f>
        <v xml:space="preserve"> MARMO, MICHAEL A</v>
      </c>
    </row>
    <row r="263" spans="1:4" x14ac:dyDescent="0.25">
      <c r="A263" s="21" t="s">
        <v>502</v>
      </c>
      <c r="B263" s="12" t="str">
        <f>VLOOKUP(A263,'US Employee Payroll Cleaned'!G:N,2,FALSE)</f>
        <v xml:space="preserve"> ALSAMMARAE, RIMA A</v>
      </c>
      <c r="C263" s="61">
        <f>INDEX('US Employee Payroll Cleaned'!A:A,MATCH('Lookup Sheet'!A263,'US Employee Payroll Cleaned'!G:G,0))</f>
        <v>4579.5</v>
      </c>
      <c r="D263" s="56" t="str">
        <f>_xlfn.XLOOKUP(A263,'US Employee Payroll Cleaned'!G:G,'US Employee Payroll Cleaned'!H:H,"Not found")</f>
        <v xml:space="preserve"> ALSAMMARAE, RIMA A</v>
      </c>
    </row>
    <row r="264" spans="1:4" x14ac:dyDescent="0.25">
      <c r="A264" s="21" t="s">
        <v>708</v>
      </c>
      <c r="B264" s="12" t="str">
        <f>VLOOKUP(A264,'US Employee Payroll Cleaned'!G:N,2,FALSE)</f>
        <v xml:space="preserve"> SKELLY, THOMAS W</v>
      </c>
      <c r="C264" s="61">
        <f>INDEX('US Employee Payroll Cleaned'!A:A,MATCH('Lookup Sheet'!A264,'US Employee Payroll Cleaned'!G:G,0))</f>
        <v>5047.5</v>
      </c>
      <c r="D264" s="56" t="str">
        <f>_xlfn.XLOOKUP(A264,'US Employee Payroll Cleaned'!G:G,'US Employee Payroll Cleaned'!H:H,"Not found")</f>
        <v xml:space="preserve"> SKELLY, THOMAS W</v>
      </c>
    </row>
    <row r="265" spans="1:4" x14ac:dyDescent="0.25">
      <c r="A265" s="21" t="s">
        <v>713</v>
      </c>
      <c r="B265" s="12" t="str">
        <f>VLOOKUP(A265,'US Employee Payroll Cleaned'!G:N,2,FALSE)</f>
        <v xml:space="preserve"> SMITH, REGGIE</v>
      </c>
      <c r="C265" s="61">
        <f>INDEX('US Employee Payroll Cleaned'!A:A,MATCH('Lookup Sheet'!A265,'US Employee Payroll Cleaned'!G:G,0))</f>
        <v>4665.25</v>
      </c>
      <c r="D265" s="56" t="str">
        <f>_xlfn.XLOOKUP(A265,'US Employee Payroll Cleaned'!G:G,'US Employee Payroll Cleaned'!H:H,"Not found")</f>
        <v xml:space="preserve"> SMITH, REGGIE</v>
      </c>
    </row>
    <row r="266" spans="1:4" x14ac:dyDescent="0.25">
      <c r="A266" s="21" t="s">
        <v>717</v>
      </c>
      <c r="B266" s="12" t="str">
        <f>VLOOKUP(A266,'US Employee Payroll Cleaned'!G:N,2,FALSE)</f>
        <v xml:space="preserve"> ROONEY, SCOTT</v>
      </c>
      <c r="C266" s="61">
        <f>INDEX('US Employee Payroll Cleaned'!A:A,MATCH('Lookup Sheet'!A266,'US Employee Payroll Cleaned'!G:G,0))</f>
        <v>4571</v>
      </c>
      <c r="D266" s="56" t="str">
        <f>_xlfn.XLOOKUP(A266,'US Employee Payroll Cleaned'!G:G,'US Employee Payroll Cleaned'!H:H,"Not found")</f>
        <v xml:space="preserve"> ROONEY, SCOTT</v>
      </c>
    </row>
    <row r="267" spans="1:4" x14ac:dyDescent="0.25">
      <c r="A267" s="21" t="s">
        <v>722</v>
      </c>
      <c r="B267" s="12" t="str">
        <f>VLOOKUP(A267,'US Employee Payroll Cleaned'!G:N,2,FALSE)</f>
        <v xml:space="preserve"> SALVAGE III, FRANK A</v>
      </c>
      <c r="C267" s="61">
        <f>INDEX('US Employee Payroll Cleaned'!A:A,MATCH('Lookup Sheet'!A267,'US Employee Payroll Cleaned'!G:G,0))</f>
        <v>650</v>
      </c>
      <c r="D267" s="56" t="str">
        <f>_xlfn.XLOOKUP(A267,'US Employee Payroll Cleaned'!G:G,'US Employee Payroll Cleaned'!H:H,"Not found")</f>
        <v xml:space="preserve"> SALVAGE III, FRANK A</v>
      </c>
    </row>
    <row r="268" spans="1:4" x14ac:dyDescent="0.25">
      <c r="A268" s="21" t="s">
        <v>728</v>
      </c>
      <c r="B268" s="12" t="str">
        <f>VLOOKUP(A268,'US Employee Payroll Cleaned'!G:N,2,FALSE)</f>
        <v xml:space="preserve"> GOCHEE, RAYMOND W</v>
      </c>
      <c r="C268" s="61">
        <f>INDEX('US Employee Payroll Cleaned'!A:A,MATCH('Lookup Sheet'!A268,'US Employee Payroll Cleaned'!G:G,0))</f>
        <v>3521.75</v>
      </c>
      <c r="D268" s="56" t="str">
        <f>_xlfn.XLOOKUP(A268,'US Employee Payroll Cleaned'!G:G,'US Employee Payroll Cleaned'!H:H,"Not found")</f>
        <v xml:space="preserve"> GOCHEE, RAYMOND W</v>
      </c>
    </row>
    <row r="269" spans="1:4" x14ac:dyDescent="0.25">
      <c r="A269" s="21" t="s">
        <v>737</v>
      </c>
      <c r="B269" s="12" t="str">
        <f>VLOOKUP(A269,'US Employee Payroll Cleaned'!G:N,2,FALSE)</f>
        <v xml:space="preserve"> BELLEL, KAFI N</v>
      </c>
      <c r="C269" s="61">
        <f>INDEX('US Employee Payroll Cleaned'!A:A,MATCH('Lookup Sheet'!A269,'US Employee Payroll Cleaned'!G:G,0))</f>
        <v>235.8</v>
      </c>
      <c r="D269" s="56" t="str">
        <f>_xlfn.XLOOKUP(A269,'US Employee Payroll Cleaned'!G:G,'US Employee Payroll Cleaned'!H:H,"Not found")</f>
        <v xml:space="preserve"> BELLEL, KAFI N</v>
      </c>
    </row>
    <row r="270" spans="1:4" x14ac:dyDescent="0.25">
      <c r="A270" s="21" t="s">
        <v>748</v>
      </c>
      <c r="B270" s="12" t="str">
        <f>VLOOKUP(A270,'US Employee Payroll Cleaned'!G:N,2,FALSE)</f>
        <v xml:space="preserve"> JOHNSON, DARIUS V</v>
      </c>
      <c r="C270" s="61">
        <f>INDEX('US Employee Payroll Cleaned'!A:A,MATCH('Lookup Sheet'!A270,'US Employee Payroll Cleaned'!G:G,0))</f>
        <v>3304.8</v>
      </c>
      <c r="D270" s="56" t="str">
        <f>_xlfn.XLOOKUP(A270,'US Employee Payroll Cleaned'!G:G,'US Employee Payroll Cleaned'!H:H,"Not found")</f>
        <v xml:space="preserve"> JOHNSON, DARIUS V</v>
      </c>
    </row>
    <row r="271" spans="1:4" x14ac:dyDescent="0.25">
      <c r="A271" s="21" t="s">
        <v>759</v>
      </c>
      <c r="B271" s="12" t="str">
        <f>VLOOKUP(A271,'US Employee Payroll Cleaned'!G:N,2,FALSE)</f>
        <v xml:space="preserve"> CLARK, PHYLLIS K</v>
      </c>
      <c r="C271" s="61">
        <f>INDEX('US Employee Payroll Cleaned'!A:A,MATCH('Lookup Sheet'!A271,'US Employee Payroll Cleaned'!G:G,0))</f>
        <v>1036.3599999999999</v>
      </c>
      <c r="D271" s="56" t="str">
        <f>_xlfn.XLOOKUP(A271,'US Employee Payroll Cleaned'!G:G,'US Employee Payroll Cleaned'!H:H,"Not found")</f>
        <v xml:space="preserve"> CLARK, PHYLLIS K</v>
      </c>
    </row>
    <row r="272" spans="1:4" x14ac:dyDescent="0.25">
      <c r="A272" s="21" t="s">
        <v>771</v>
      </c>
      <c r="B272" s="12" t="str">
        <f>VLOOKUP(A272,'US Employee Payroll Cleaned'!G:N,2,FALSE)</f>
        <v xml:space="preserve"> VASQUEZ, JESUS</v>
      </c>
      <c r="C272" s="61">
        <f>INDEX('US Employee Payroll Cleaned'!A:A,MATCH('Lookup Sheet'!A272,'US Employee Payroll Cleaned'!G:G,0))</f>
        <v>769.44</v>
      </c>
      <c r="D272" s="56" t="str">
        <f>_xlfn.XLOOKUP(A272,'US Employee Payroll Cleaned'!G:G,'US Employee Payroll Cleaned'!H:H,"Not found")</f>
        <v xml:space="preserve"> VASQUEZ, JESUS</v>
      </c>
    </row>
    <row r="273" spans="1:4" x14ac:dyDescent="0.25">
      <c r="A273" s="21" t="s">
        <v>782</v>
      </c>
      <c r="B273" s="12" t="str">
        <f>VLOOKUP(A273,'US Employee Payroll Cleaned'!G:N,2,FALSE)</f>
        <v xml:space="preserve"> LOPEZ, TERESA</v>
      </c>
      <c r="C273" s="61">
        <f>INDEX('US Employee Payroll Cleaned'!A:A,MATCH('Lookup Sheet'!A273,'US Employee Payroll Cleaned'!G:G,0))</f>
        <v>180.08</v>
      </c>
      <c r="D273" s="56" t="str">
        <f>_xlfn.XLOOKUP(A273,'US Employee Payroll Cleaned'!G:G,'US Employee Payroll Cleaned'!H:H,"Not found")</f>
        <v xml:space="preserve"> LOPEZ, TERESA</v>
      </c>
    </row>
    <row r="274" spans="1:4" x14ac:dyDescent="0.25">
      <c r="A274" s="21" t="s">
        <v>792</v>
      </c>
      <c r="B274" s="12" t="str">
        <f>VLOOKUP(A274,'US Employee Payroll Cleaned'!G:N,2,FALSE)</f>
        <v xml:space="preserve"> LANHAM CASARES, MARY M</v>
      </c>
      <c r="C274" s="61">
        <f>INDEX('US Employee Payroll Cleaned'!A:A,MATCH('Lookup Sheet'!A274,'US Employee Payroll Cleaned'!G:G,0))</f>
        <v>3932</v>
      </c>
      <c r="D274" s="56" t="str">
        <f>_xlfn.XLOOKUP(A274,'US Employee Payroll Cleaned'!G:G,'US Employee Payroll Cleaned'!H:H,"Not found")</f>
        <v xml:space="preserve"> LANHAM CASARES, MARY M</v>
      </c>
    </row>
    <row r="275" spans="1:4" x14ac:dyDescent="0.25">
      <c r="A275" s="21" t="s">
        <v>801</v>
      </c>
      <c r="B275" s="12" t="str">
        <f>VLOOKUP(A275,'US Employee Payroll Cleaned'!G:N,2,FALSE)</f>
        <v xml:space="preserve"> HOJEK JR, COREY M</v>
      </c>
      <c r="C275" s="61">
        <f>INDEX('US Employee Payroll Cleaned'!A:A,MATCH('Lookup Sheet'!A275,'US Employee Payroll Cleaned'!G:G,0))</f>
        <v>950</v>
      </c>
      <c r="D275" s="56" t="str">
        <f>_xlfn.XLOOKUP(A275,'US Employee Payroll Cleaned'!G:G,'US Employee Payroll Cleaned'!H:H,"Not found")</f>
        <v xml:space="preserve"> HOJEK JR, COREY M</v>
      </c>
    </row>
    <row r="276" spans="1:4" x14ac:dyDescent="0.25">
      <c r="A276" s="21" t="s">
        <v>811</v>
      </c>
      <c r="B276" s="12" t="str">
        <f>VLOOKUP(A276,'US Employee Payroll Cleaned'!G:N,2,FALSE)</f>
        <v xml:space="preserve"> HUERTA, JIM</v>
      </c>
      <c r="C276" s="61">
        <f>INDEX('US Employee Payroll Cleaned'!A:A,MATCH('Lookup Sheet'!A276,'US Employee Payroll Cleaned'!G:G,0))</f>
        <v>628.22</v>
      </c>
      <c r="D276" s="56" t="str">
        <f>_xlfn.XLOOKUP(A276,'US Employee Payroll Cleaned'!G:G,'US Employee Payroll Cleaned'!H:H,"Not found")</f>
        <v xml:space="preserve"> HUERTA, JIM</v>
      </c>
    </row>
    <row r="277" spans="1:4" x14ac:dyDescent="0.25">
      <c r="A277" s="21" t="s">
        <v>820</v>
      </c>
      <c r="B277" s="12" t="str">
        <f>VLOOKUP(A277,'US Employee Payroll Cleaned'!G:N,2,FALSE)</f>
        <v xml:space="preserve"> HINDMAN, DORA M</v>
      </c>
      <c r="C277" s="61">
        <f>INDEX('US Employee Payroll Cleaned'!A:A,MATCH('Lookup Sheet'!A277,'US Employee Payroll Cleaned'!G:G,0))</f>
        <v>2090.25</v>
      </c>
      <c r="D277" s="56" t="str">
        <f>_xlfn.XLOOKUP(A277,'US Employee Payroll Cleaned'!G:G,'US Employee Payroll Cleaned'!H:H,"Not found")</f>
        <v xml:space="preserve"> HINDMAN, DORA M</v>
      </c>
    </row>
    <row r="278" spans="1:4" x14ac:dyDescent="0.25">
      <c r="A278" s="21" t="s">
        <v>826</v>
      </c>
      <c r="B278" s="12" t="str">
        <f>VLOOKUP(A278,'US Employee Payroll Cleaned'!G:N,2,FALSE)</f>
        <v xml:space="preserve"> BATEY, BRIAN L</v>
      </c>
      <c r="C278" s="61">
        <f>INDEX('US Employee Payroll Cleaned'!A:A,MATCH('Lookup Sheet'!A278,'US Employee Payroll Cleaned'!G:G,0))</f>
        <v>950</v>
      </c>
      <c r="D278" s="56" t="str">
        <f>_xlfn.XLOOKUP(A278,'US Employee Payroll Cleaned'!G:G,'US Employee Payroll Cleaned'!H:H,"Not found")</f>
        <v xml:space="preserve"> BATEY, BRIAN L</v>
      </c>
    </row>
    <row r="279" spans="1:4" x14ac:dyDescent="0.25">
      <c r="A279" s="21" t="s">
        <v>832</v>
      </c>
      <c r="B279" s="12" t="str">
        <f>VLOOKUP(A279,'US Employee Payroll Cleaned'!G:N,2,FALSE)</f>
        <v xml:space="preserve"> LEWIS, REGINALD A</v>
      </c>
      <c r="C279" s="61">
        <f>INDEX('US Employee Payroll Cleaned'!A:A,MATCH('Lookup Sheet'!A279,'US Employee Payroll Cleaned'!G:G,0))</f>
        <v>187.2</v>
      </c>
      <c r="D279" s="56" t="str">
        <f>_xlfn.XLOOKUP(A279,'US Employee Payroll Cleaned'!G:G,'US Employee Payroll Cleaned'!H:H,"Not found")</f>
        <v xml:space="preserve"> LEWIS, REGINALD A</v>
      </c>
    </row>
    <row r="280" spans="1:4" x14ac:dyDescent="0.25">
      <c r="A280" s="21" t="s">
        <v>838</v>
      </c>
      <c r="B280" s="12" t="str">
        <f>VLOOKUP(A280,'US Employee Payroll Cleaned'!G:N,2,FALSE)</f>
        <v xml:space="preserve"> SHAMAH, MOHAMMAD K</v>
      </c>
      <c r="C280" s="61">
        <f>INDEX('US Employee Payroll Cleaned'!A:A,MATCH('Lookup Sheet'!A280,'US Employee Payroll Cleaned'!G:G,0))</f>
        <v>4903.75</v>
      </c>
      <c r="D280" s="56" t="str">
        <f>_xlfn.XLOOKUP(A280,'US Employee Payroll Cleaned'!G:G,'US Employee Payroll Cleaned'!H:H,"Not found")</f>
        <v xml:space="preserve"> SHAMAH, MOHAMMAD K</v>
      </c>
    </row>
    <row r="281" spans="1:4" x14ac:dyDescent="0.25">
      <c r="A281" s="21" t="s">
        <v>844</v>
      </c>
      <c r="B281" s="12" t="str">
        <f>VLOOKUP(A281,'US Employee Payroll Cleaned'!G:N,2,FALSE)</f>
        <v xml:space="preserve"> PERKINS, JAZZMINE E</v>
      </c>
      <c r="C281" s="61">
        <f>INDEX('US Employee Payroll Cleaned'!A:A,MATCH('Lookup Sheet'!A281,'US Employee Payroll Cleaned'!G:G,0))</f>
        <v>1318.8</v>
      </c>
      <c r="D281" s="56" t="str">
        <f>_xlfn.XLOOKUP(A281,'US Employee Payroll Cleaned'!G:G,'US Employee Payroll Cleaned'!H:H,"Not found")</f>
        <v xml:space="preserve"> PERKINS, JAZZMINE E</v>
      </c>
    </row>
    <row r="282" spans="1:4" x14ac:dyDescent="0.25">
      <c r="A282" s="21" t="s">
        <v>852</v>
      </c>
      <c r="B282" s="12" t="str">
        <f>VLOOKUP(A282,'US Employee Payroll Cleaned'!G:N,2,FALSE)</f>
        <v xml:space="preserve"> NORDSTROM, MICHAEL A</v>
      </c>
      <c r="C282" s="61">
        <f>INDEX('US Employee Payroll Cleaned'!A:A,MATCH('Lookup Sheet'!A282,'US Employee Payroll Cleaned'!G:G,0))</f>
        <v>832.33</v>
      </c>
      <c r="D282" s="56" t="str">
        <f>_xlfn.XLOOKUP(A282,'US Employee Payroll Cleaned'!G:G,'US Employee Payroll Cleaned'!H:H,"Not found")</f>
        <v xml:space="preserve"> NORDSTROM, MICHAEL A</v>
      </c>
    </row>
    <row r="283" spans="1:4" x14ac:dyDescent="0.25">
      <c r="A283" s="21" t="s">
        <v>857</v>
      </c>
      <c r="B283" s="12" t="str">
        <f>VLOOKUP(A283,'US Employee Payroll Cleaned'!G:N,2,FALSE)</f>
        <v xml:space="preserve"> GUNTER, ZARAK D</v>
      </c>
      <c r="C283" s="61">
        <f>INDEX('US Employee Payroll Cleaned'!A:A,MATCH('Lookup Sheet'!A283,'US Employee Payroll Cleaned'!G:G,0))</f>
        <v>950</v>
      </c>
      <c r="D283" s="56" t="str">
        <f>_xlfn.XLOOKUP(A283,'US Employee Payroll Cleaned'!G:G,'US Employee Payroll Cleaned'!H:H,"Not found")</f>
        <v xml:space="preserve"> GUNTER, ZARAK D</v>
      </c>
    </row>
    <row r="284" spans="1:4" x14ac:dyDescent="0.25">
      <c r="A284" s="21" t="s">
        <v>861</v>
      </c>
      <c r="B284" s="12" t="str">
        <f>VLOOKUP(A284,'US Employee Payroll Cleaned'!G:N,2,FALSE)</f>
        <v xml:space="preserve"> THOMAS, LUTHER</v>
      </c>
      <c r="C284" s="61">
        <f>INDEX('US Employee Payroll Cleaned'!A:A,MATCH('Lookup Sheet'!A284,'US Employee Payroll Cleaned'!G:G,0))</f>
        <v>471</v>
      </c>
      <c r="D284" s="56" t="str">
        <f>_xlfn.XLOOKUP(A284,'US Employee Payroll Cleaned'!G:G,'US Employee Payroll Cleaned'!H:H,"Not found")</f>
        <v xml:space="preserve"> THOMAS, LUTHER</v>
      </c>
    </row>
    <row r="285" spans="1:4" x14ac:dyDescent="0.25">
      <c r="A285" s="21" t="s">
        <v>866</v>
      </c>
      <c r="B285" s="12" t="str">
        <f>VLOOKUP(A285,'US Employee Payroll Cleaned'!G:N,2,FALSE)</f>
        <v xml:space="preserve"> HUSSEY, THOMAS R</v>
      </c>
      <c r="C285" s="61">
        <f>INDEX('US Employee Payroll Cleaned'!A:A,MATCH('Lookup Sheet'!A285,'US Employee Payroll Cleaned'!G:G,0))</f>
        <v>96.53</v>
      </c>
      <c r="D285" s="56" t="str">
        <f>_xlfn.XLOOKUP(A285,'US Employee Payroll Cleaned'!G:G,'US Employee Payroll Cleaned'!H:H,"Not found")</f>
        <v xml:space="preserve"> HUSSEY, THOMAS R</v>
      </c>
    </row>
    <row r="286" spans="1:4" x14ac:dyDescent="0.25">
      <c r="A286" s="21" t="s">
        <v>871</v>
      </c>
      <c r="B286" s="12" t="str">
        <f>VLOOKUP(A286,'US Employee Payroll Cleaned'!G:N,2,FALSE)</f>
        <v xml:space="preserve"> RIVERA, JOSE A</v>
      </c>
      <c r="C286" s="61">
        <f>INDEX('US Employee Payroll Cleaned'!A:A,MATCH('Lookup Sheet'!A286,'US Employee Payroll Cleaned'!G:G,0))</f>
        <v>3857.28</v>
      </c>
      <c r="D286" s="56" t="str">
        <f>_xlfn.XLOOKUP(A286,'US Employee Payroll Cleaned'!G:G,'US Employee Payroll Cleaned'!H:H,"Not found")</f>
        <v xml:space="preserve"> RIVERA, JOSE A</v>
      </c>
    </row>
    <row r="287" spans="1:4" x14ac:dyDescent="0.25">
      <c r="A287" s="21" t="s">
        <v>875</v>
      </c>
      <c r="B287" s="12" t="str">
        <f>VLOOKUP(A287,'US Employee Payroll Cleaned'!G:N,2,FALSE)</f>
        <v xml:space="preserve"> LEYDEN, PATRICK W</v>
      </c>
      <c r="C287" s="61">
        <f>INDEX('US Employee Payroll Cleaned'!A:A,MATCH('Lookup Sheet'!A287,'US Employee Payroll Cleaned'!G:G,0))</f>
        <v>2090.25</v>
      </c>
      <c r="D287" s="56" t="str">
        <f>_xlfn.XLOOKUP(A287,'US Employee Payroll Cleaned'!G:G,'US Employee Payroll Cleaned'!H:H,"Not found")</f>
        <v xml:space="preserve"> LEYDEN, PATRICK W</v>
      </c>
    </row>
    <row r="288" spans="1:4" x14ac:dyDescent="0.25">
      <c r="A288" s="51" t="s">
        <v>879</v>
      </c>
      <c r="B288" s="12" t="str">
        <f>VLOOKUP(A288,'US Employee Payroll Cleaned'!G:N,2,FALSE)</f>
        <v xml:space="preserve"> GARCIA, GABRIEL</v>
      </c>
      <c r="C288" s="61">
        <f>INDEX('US Employee Payroll Cleaned'!A:A,MATCH('Lookup Sheet'!A288,'US Employee Payroll Cleaned'!G:G,0))</f>
        <v>423.93</v>
      </c>
      <c r="D288" s="56" t="str">
        <f>_xlfn.XLOOKUP(A288,'US Employee Payroll Cleaned'!G:G,'US Employee Payroll Cleaned'!H:H,"Not found")</f>
        <v xml:space="preserve"> GARCIA, GABRIEL</v>
      </c>
    </row>
    <row r="289" spans="1:4" x14ac:dyDescent="0.25">
      <c r="A289" s="21" t="s">
        <v>884</v>
      </c>
      <c r="B289" s="12" t="str">
        <f>VLOOKUP(A289,'US Employee Payroll Cleaned'!G:N,2,FALSE)</f>
        <v xml:space="preserve"> TOLSTON, SHERYL R</v>
      </c>
      <c r="C289" s="61">
        <f>INDEX('US Employee Payroll Cleaned'!A:A,MATCH('Lookup Sheet'!A289,'US Employee Payroll Cleaned'!G:G,0))</f>
        <v>3437.5</v>
      </c>
      <c r="D289" s="56" t="str">
        <f>_xlfn.XLOOKUP(A289,'US Employee Payroll Cleaned'!G:G,'US Employee Payroll Cleaned'!H:H,"Not found")</f>
        <v xml:space="preserve"> TOLSTON, SHERYL R</v>
      </c>
    </row>
    <row r="290" spans="1:4" x14ac:dyDescent="0.25">
      <c r="A290" s="21" t="s">
        <v>890</v>
      </c>
      <c r="B290" s="12" t="str">
        <f>VLOOKUP(A290,'US Employee Payroll Cleaned'!G:N,2,FALSE)</f>
        <v xml:space="preserve"> DIXON, MARLON L</v>
      </c>
      <c r="C290" s="61">
        <f>INDEX('US Employee Payroll Cleaned'!A:A,MATCH('Lookup Sheet'!A290,'US Employee Payroll Cleaned'!G:G,0))</f>
        <v>207.21</v>
      </c>
      <c r="D290" s="56" t="str">
        <f>_xlfn.XLOOKUP(A290,'US Employee Payroll Cleaned'!G:G,'US Employee Payroll Cleaned'!H:H,"Not found")</f>
        <v xml:space="preserve"> DIXON, MARLON L</v>
      </c>
    </row>
    <row r="291" spans="1:4" x14ac:dyDescent="0.25">
      <c r="A291" s="21" t="s">
        <v>896</v>
      </c>
      <c r="B291" s="12" t="str">
        <f>VLOOKUP(A291,'US Employee Payroll Cleaned'!G:N,2,FALSE)</f>
        <v xml:space="preserve"> GRECO, JOSEPH</v>
      </c>
      <c r="C291" s="61">
        <f>INDEX('US Employee Payroll Cleaned'!A:A,MATCH('Lookup Sheet'!A291,'US Employee Payroll Cleaned'!G:G,0))</f>
        <v>275.39999999999998</v>
      </c>
      <c r="D291" s="56" t="str">
        <f>_xlfn.XLOOKUP(A291,'US Employee Payroll Cleaned'!G:G,'US Employee Payroll Cleaned'!H:H,"Not found")</f>
        <v xml:space="preserve"> GRECO, JOSEPH</v>
      </c>
    </row>
    <row r="292" spans="1:4" x14ac:dyDescent="0.25">
      <c r="A292" s="21" t="s">
        <v>901</v>
      </c>
      <c r="B292" s="12" t="str">
        <f>VLOOKUP(A292,'US Employee Payroll Cleaned'!G:N,2,FALSE)</f>
        <v xml:space="preserve"> TRIGSTED, DALE R</v>
      </c>
      <c r="C292" s="61">
        <f>INDEX('US Employee Payroll Cleaned'!A:A,MATCH('Lookup Sheet'!A292,'US Employee Payroll Cleaned'!G:G,0))</f>
        <v>56.16</v>
      </c>
      <c r="D292" s="56" t="str">
        <f>_xlfn.XLOOKUP(A292,'US Employee Payroll Cleaned'!G:G,'US Employee Payroll Cleaned'!H:H,"Not found")</f>
        <v xml:space="preserve"> TRIGSTED, DALE R</v>
      </c>
    </row>
    <row r="293" spans="1:4" x14ac:dyDescent="0.25">
      <c r="A293" s="21" t="s">
        <v>908</v>
      </c>
      <c r="B293" s="12" t="str">
        <f>VLOOKUP(A293,'US Employee Payroll Cleaned'!G:N,2,FALSE)</f>
        <v xml:space="preserve"> DE JESUS, EMILY</v>
      </c>
      <c r="C293" s="61">
        <f>INDEX('US Employee Payroll Cleaned'!A:A,MATCH('Lookup Sheet'!A293,'US Employee Payroll Cleaned'!G:G,0))</f>
        <v>627.82000000000005</v>
      </c>
      <c r="D293" s="56" t="str">
        <f>_xlfn.XLOOKUP(A293,'US Employee Payroll Cleaned'!G:G,'US Employee Payroll Cleaned'!H:H,"Not found")</f>
        <v xml:space="preserve"> DE JESUS, EMILY</v>
      </c>
    </row>
    <row r="294" spans="1:4" x14ac:dyDescent="0.25">
      <c r="A294" s="21" t="s">
        <v>915</v>
      </c>
      <c r="B294" s="12" t="str">
        <f>VLOOKUP(A294,'US Employee Payroll Cleaned'!G:N,2,FALSE)</f>
        <v xml:space="preserve"> COLLINS, BRIAN</v>
      </c>
      <c r="C294" s="61">
        <f>INDEX('US Employee Payroll Cleaned'!A:A,MATCH('Lookup Sheet'!A294,'US Employee Payroll Cleaned'!G:G,0))</f>
        <v>350</v>
      </c>
      <c r="D294" s="56" t="str">
        <f>_xlfn.XLOOKUP(A294,'US Employee Payroll Cleaned'!G:G,'US Employee Payroll Cleaned'!H:H,"Not found")</f>
        <v xml:space="preserve"> COLLINS, BRIAN</v>
      </c>
    </row>
    <row r="295" spans="1:4" x14ac:dyDescent="0.25">
      <c r="A295" s="21" t="s">
        <v>922</v>
      </c>
      <c r="B295" s="12" t="str">
        <f>VLOOKUP(A295,'US Employee Payroll Cleaned'!G:N,2,FALSE)</f>
        <v xml:space="preserve"> DOMINGUEZ, ALFREDO</v>
      </c>
      <c r="C295" s="61">
        <f>INDEX('US Employee Payroll Cleaned'!A:A,MATCH('Lookup Sheet'!A295,'US Employee Payroll Cleaned'!G:G,0))</f>
        <v>912.24</v>
      </c>
      <c r="D295" s="56" t="str">
        <f>_xlfn.XLOOKUP(A295,'US Employee Payroll Cleaned'!G:G,'US Employee Payroll Cleaned'!H:H,"Not found")</f>
        <v xml:space="preserve"> DOMINGUEZ, ALFREDO</v>
      </c>
    </row>
    <row r="296" spans="1:4" x14ac:dyDescent="0.25">
      <c r="A296" s="21" t="s">
        <v>927</v>
      </c>
      <c r="B296" s="12" t="str">
        <f>VLOOKUP(A296,'US Employee Payroll Cleaned'!G:N,2,FALSE)</f>
        <v xml:space="preserve"> WILLIAMS, MARVIN J</v>
      </c>
      <c r="C296" s="61">
        <f>INDEX('US Employee Payroll Cleaned'!A:A,MATCH('Lookup Sheet'!A296,'US Employee Payroll Cleaned'!G:G,0))</f>
        <v>4372.25</v>
      </c>
      <c r="D296" s="56" t="str">
        <f>_xlfn.XLOOKUP(A296,'US Employee Payroll Cleaned'!G:G,'US Employee Payroll Cleaned'!H:H,"Not found")</f>
        <v xml:space="preserve"> WILLIAMS, MARVIN J</v>
      </c>
    </row>
    <row r="297" spans="1:4" x14ac:dyDescent="0.25">
      <c r="A297" s="21" t="s">
        <v>728</v>
      </c>
      <c r="B297" s="12" t="str">
        <f>VLOOKUP(A297,'US Employee Payroll Cleaned'!G:N,2,FALSE)</f>
        <v xml:space="preserve"> GOCHEE, RAYMOND W</v>
      </c>
      <c r="C297" s="61">
        <f>INDEX('US Employee Payroll Cleaned'!A:A,MATCH('Lookup Sheet'!A297,'US Employee Payroll Cleaned'!G:G,0))</f>
        <v>3521.75</v>
      </c>
      <c r="D297" s="56" t="str">
        <f>_xlfn.XLOOKUP(A297,'US Employee Payroll Cleaned'!G:G,'US Employee Payroll Cleaned'!H:H,"Not found")</f>
        <v xml:space="preserve"> GOCHEE, RAYMOND W</v>
      </c>
    </row>
    <row r="298" spans="1:4" x14ac:dyDescent="0.25">
      <c r="A298" s="21" t="s">
        <v>932</v>
      </c>
      <c r="B298" s="12" t="str">
        <f>VLOOKUP(A298,'US Employee Payroll Cleaned'!G:N,2,FALSE)</f>
        <v xml:space="preserve"> COYLE, MICHAEL D</v>
      </c>
      <c r="C298" s="61">
        <f>INDEX('US Employee Payroll Cleaned'!A:A,MATCH('Lookup Sheet'!A298,'US Employee Payroll Cleaned'!G:G,0))</f>
        <v>1176.9000000000001</v>
      </c>
      <c r="D298" s="56" t="str">
        <f>_xlfn.XLOOKUP(A298,'US Employee Payroll Cleaned'!G:G,'US Employee Payroll Cleaned'!H:H,"Not found")</f>
        <v xml:space="preserve"> COYLE, MICHAEL D</v>
      </c>
    </row>
    <row r="299" spans="1:4" x14ac:dyDescent="0.25">
      <c r="A299" s="21" t="s">
        <v>938</v>
      </c>
      <c r="B299" s="12" t="str">
        <f>VLOOKUP(A299,'US Employee Payroll Cleaned'!G:N,2,FALSE)</f>
        <v xml:space="preserve"> NETTLES, CLARA J</v>
      </c>
      <c r="C299" s="61">
        <f>INDEX('US Employee Payroll Cleaned'!A:A,MATCH('Lookup Sheet'!A299,'US Employee Payroll Cleaned'!G:G,0))</f>
        <v>3644.16</v>
      </c>
      <c r="D299" s="56" t="str">
        <f>_xlfn.XLOOKUP(A299,'US Employee Payroll Cleaned'!G:G,'US Employee Payroll Cleaned'!H:H,"Not found")</f>
        <v xml:space="preserve"> NETTLES, CLARA J</v>
      </c>
    </row>
    <row r="300" spans="1:4" x14ac:dyDescent="0.25">
      <c r="A300" s="21" t="s">
        <v>943</v>
      </c>
      <c r="B300" s="12" t="str">
        <f>VLOOKUP(A300,'US Employee Payroll Cleaned'!G:N,2,FALSE)</f>
        <v xml:space="preserve"> KRISKE, SHAUN</v>
      </c>
      <c r="C300" s="61">
        <f>INDEX('US Employee Payroll Cleaned'!A:A,MATCH('Lookup Sheet'!A300,'US Employee Payroll Cleaned'!G:G,0))</f>
        <v>4225.5</v>
      </c>
      <c r="D300" s="56" t="str">
        <f>_xlfn.XLOOKUP(A300,'US Employee Payroll Cleaned'!G:G,'US Employee Payroll Cleaned'!H:H,"Not found")</f>
        <v xml:space="preserve"> KRISKE, SHAUN</v>
      </c>
    </row>
    <row r="301" spans="1:4" x14ac:dyDescent="0.25">
      <c r="A301" s="21" t="s">
        <v>946</v>
      </c>
      <c r="B301" s="12" t="str">
        <f>VLOOKUP(A301,'US Employee Payroll Cleaned'!G:N,2,FALSE)</f>
        <v xml:space="preserve"> JACKSON, MATTHEW C</v>
      </c>
      <c r="C301" s="61">
        <f>INDEX('US Employee Payroll Cleaned'!A:A,MATCH('Lookup Sheet'!A301,'US Employee Payroll Cleaned'!G:G,0))</f>
        <v>650</v>
      </c>
      <c r="D301" s="56" t="str">
        <f>_xlfn.XLOOKUP(A301,'US Employee Payroll Cleaned'!G:G,'US Employee Payroll Cleaned'!H:H,"Not found")</f>
        <v xml:space="preserve"> JACKSON, MATTHEW C</v>
      </c>
    </row>
    <row r="302" spans="1:4" x14ac:dyDescent="0.25">
      <c r="A302" s="21" t="s">
        <v>950</v>
      </c>
      <c r="B302" s="12" t="str">
        <f>VLOOKUP(A302,'US Employee Payroll Cleaned'!G:N,2,FALSE)</f>
        <v xml:space="preserve"> ARCE, RAMONA</v>
      </c>
      <c r="C302" s="61">
        <f>INDEX('US Employee Payroll Cleaned'!A:A,MATCH('Lookup Sheet'!A302,'US Employee Payroll Cleaned'!G:G,0))</f>
        <v>4232.5</v>
      </c>
      <c r="D302" s="56" t="str">
        <f>_xlfn.XLOOKUP(A302,'US Employee Payroll Cleaned'!G:G,'US Employee Payroll Cleaned'!H:H,"Not found")</f>
        <v xml:space="preserve"> ARCE, RAMONA</v>
      </c>
    </row>
    <row r="303" spans="1:4" x14ac:dyDescent="0.25">
      <c r="A303" s="21" t="s">
        <v>955</v>
      </c>
      <c r="B303" s="12" t="str">
        <f>VLOOKUP(A303,'US Employee Payroll Cleaned'!G:N,2,FALSE)</f>
        <v xml:space="preserve"> HURLEY, MICHAEL B</v>
      </c>
      <c r="C303" s="61">
        <f>INDEX('US Employee Payroll Cleaned'!A:A,MATCH('Lookup Sheet'!A303,'US Employee Payroll Cleaned'!G:G,0))</f>
        <v>5234.75</v>
      </c>
      <c r="D303" s="56" t="str">
        <f>_xlfn.XLOOKUP(A303,'US Employee Payroll Cleaned'!G:G,'US Employee Payroll Cleaned'!H:H,"Not found")</f>
        <v xml:space="preserve"> HURLEY, MICHAEL B</v>
      </c>
    </row>
    <row r="304" spans="1:4" x14ac:dyDescent="0.25">
      <c r="A304" s="21" t="s">
        <v>960</v>
      </c>
      <c r="B304" s="12" t="str">
        <f>VLOOKUP(A304,'US Employee Payroll Cleaned'!G:N,2,FALSE)</f>
        <v xml:space="preserve"> HOWE, MELANIE L</v>
      </c>
      <c r="C304" s="61">
        <f>INDEX('US Employee Payroll Cleaned'!A:A,MATCH('Lookup Sheet'!A304,'US Employee Payroll Cleaned'!G:G,0))</f>
        <v>2357.9899999999998</v>
      </c>
      <c r="D304" s="56" t="str">
        <f>_xlfn.XLOOKUP(A304,'US Employee Payroll Cleaned'!G:G,'US Employee Payroll Cleaned'!H:H,"Not found")</f>
        <v xml:space="preserve"> HOWE, MELANIE L</v>
      </c>
    </row>
    <row r="305" spans="1:4" x14ac:dyDescent="0.25">
      <c r="A305" s="21" t="s">
        <v>965</v>
      </c>
      <c r="B305" s="12" t="str">
        <f>VLOOKUP(A305,'US Employee Payroll Cleaned'!G:N,2,FALSE)</f>
        <v xml:space="preserve"> LYONS, AMY B</v>
      </c>
      <c r="C305" s="61">
        <f>INDEX('US Employee Payroll Cleaned'!A:A,MATCH('Lookup Sheet'!A305,'US Employee Payroll Cleaned'!G:G,0))</f>
        <v>961.48</v>
      </c>
      <c r="D305" s="56" t="str">
        <f>_xlfn.XLOOKUP(A305,'US Employee Payroll Cleaned'!G:G,'US Employee Payroll Cleaned'!H:H,"Not found")</f>
        <v xml:space="preserve"> LYONS, AMY B</v>
      </c>
    </row>
    <row r="306" spans="1:4" x14ac:dyDescent="0.25">
      <c r="A306" s="21" t="s">
        <v>968</v>
      </c>
      <c r="B306" s="12" t="str">
        <f>VLOOKUP(A306,'US Employee Payroll Cleaned'!G:N,2,FALSE)</f>
        <v xml:space="preserve"> PONCE, CARLOS A</v>
      </c>
      <c r="C306" s="61">
        <f>INDEX('US Employee Payroll Cleaned'!A:A,MATCH('Lookup Sheet'!A306,'US Employee Payroll Cleaned'!G:G,0))</f>
        <v>950</v>
      </c>
      <c r="D306" s="56" t="str">
        <f>_xlfn.XLOOKUP(A306,'US Employee Payroll Cleaned'!G:G,'US Employee Payroll Cleaned'!H:H,"Not found")</f>
        <v xml:space="preserve"> PONCE, CARLOS A</v>
      </c>
    </row>
    <row r="307" spans="1:4" x14ac:dyDescent="0.25">
      <c r="A307" s="21" t="s">
        <v>973</v>
      </c>
      <c r="B307" s="12" t="str">
        <f>VLOOKUP(A307,'US Employee Payroll Cleaned'!G:N,2,FALSE)</f>
        <v xml:space="preserve"> KUBIK, JOSEPH T</v>
      </c>
      <c r="C307" s="61">
        <f>INDEX('US Employee Payroll Cleaned'!A:A,MATCH('Lookup Sheet'!A307,'US Employee Payroll Cleaned'!G:G,0))</f>
        <v>2501.17</v>
      </c>
      <c r="D307" s="56" t="str">
        <f>_xlfn.XLOOKUP(A307,'US Employee Payroll Cleaned'!G:G,'US Employee Payroll Cleaned'!H:H,"Not found")</f>
        <v xml:space="preserve"> KUBIK, JOSEPH T</v>
      </c>
    </row>
    <row r="308" spans="1:4" x14ac:dyDescent="0.25">
      <c r="A308" s="21" t="s">
        <v>978</v>
      </c>
      <c r="B308" s="12" t="str">
        <f>VLOOKUP(A308,'US Employee Payroll Cleaned'!G:N,2,FALSE)</f>
        <v xml:space="preserve"> JERANTOWSKI, BRAD J</v>
      </c>
      <c r="C308" s="61">
        <f>INDEX('US Employee Payroll Cleaned'!A:A,MATCH('Lookup Sheet'!A308,'US Employee Payroll Cleaned'!G:G,0))</f>
        <v>151.91999999999999</v>
      </c>
      <c r="D308" s="56" t="str">
        <f>_xlfn.XLOOKUP(A308,'US Employee Payroll Cleaned'!G:G,'US Employee Payroll Cleaned'!H:H,"Not found")</f>
        <v xml:space="preserve"> JERANTOWSKI, BRAD J</v>
      </c>
    </row>
    <row r="309" spans="1:4" x14ac:dyDescent="0.25">
      <c r="A309" s="21" t="s">
        <v>981</v>
      </c>
      <c r="B309" s="12" t="str">
        <f>VLOOKUP(A309,'US Employee Payroll Cleaned'!G:N,2,FALSE)</f>
        <v xml:space="preserve"> PHAM, JOHN</v>
      </c>
      <c r="C309" s="61">
        <f>INDEX('US Employee Payroll Cleaned'!A:A,MATCH('Lookup Sheet'!A309,'US Employee Payroll Cleaned'!G:G,0))</f>
        <v>4225.5</v>
      </c>
      <c r="D309" s="56" t="str">
        <f>_xlfn.XLOOKUP(A309,'US Employee Payroll Cleaned'!G:G,'US Employee Payroll Cleaned'!H:H,"Not found")</f>
        <v xml:space="preserve"> PHAM, JOHN</v>
      </c>
    </row>
    <row r="310" spans="1:4" x14ac:dyDescent="0.25">
      <c r="A310" s="21" t="s">
        <v>985</v>
      </c>
      <c r="B310" s="12" t="str">
        <f>VLOOKUP(A310,'US Employee Payroll Cleaned'!G:N,2,FALSE)</f>
        <v xml:space="preserve"> WIZGIRD, DOMINIC J</v>
      </c>
      <c r="C310" s="61">
        <f>INDEX('US Employee Payroll Cleaned'!A:A,MATCH('Lookup Sheet'!A310,'US Employee Payroll Cleaned'!G:G,0))</f>
        <v>6323.5</v>
      </c>
      <c r="D310" s="56" t="str">
        <f>_xlfn.XLOOKUP(A310,'US Employee Payroll Cleaned'!G:G,'US Employee Payroll Cleaned'!H:H,"Not found")</f>
        <v xml:space="preserve"> WIZGIRD, DOMINIC J</v>
      </c>
    </row>
    <row r="311" spans="1:4" x14ac:dyDescent="0.25">
      <c r="A311" s="21" t="s">
        <v>990</v>
      </c>
      <c r="B311" s="12" t="str">
        <f>VLOOKUP(A311,'US Employee Payroll Cleaned'!G:N,2,FALSE)</f>
        <v xml:space="preserve"> HANSEN, JACOB A</v>
      </c>
      <c r="C311" s="61">
        <f>INDEX('US Employee Payroll Cleaned'!A:A,MATCH('Lookup Sheet'!A311,'US Employee Payroll Cleaned'!G:G,0))</f>
        <v>677.6</v>
      </c>
      <c r="D311" s="56" t="str">
        <f>_xlfn.XLOOKUP(A311,'US Employee Payroll Cleaned'!G:G,'US Employee Payroll Cleaned'!H:H,"Not found")</f>
        <v xml:space="preserve"> HANSEN, JACOB A</v>
      </c>
    </row>
    <row r="312" spans="1:4" x14ac:dyDescent="0.25">
      <c r="A312" s="21" t="s">
        <v>996</v>
      </c>
      <c r="B312" s="12" t="str">
        <f>VLOOKUP(A312,'US Employee Payroll Cleaned'!G:N,2,FALSE)</f>
        <v xml:space="preserve"> DOYLE, SEAN M</v>
      </c>
      <c r="C312" s="61">
        <f>INDEX('US Employee Payroll Cleaned'!A:A,MATCH('Lookup Sheet'!A312,'US Employee Payroll Cleaned'!G:G,0))</f>
        <v>88</v>
      </c>
      <c r="D312" s="56" t="str">
        <f>_xlfn.XLOOKUP(A312,'US Employee Payroll Cleaned'!G:G,'US Employee Payroll Cleaned'!H:H,"Not found")</f>
        <v xml:space="preserve"> DOYLE, SEAN M</v>
      </c>
    </row>
    <row r="313" spans="1:4" x14ac:dyDescent="0.25">
      <c r="A313" s="21" t="s">
        <v>1003</v>
      </c>
      <c r="B313" s="12" t="str">
        <f>VLOOKUP(A313,'US Employee Payroll Cleaned'!G:N,2,FALSE)</f>
        <v xml:space="preserve"> SHINE, DANIEL K</v>
      </c>
      <c r="C313" s="61">
        <f>INDEX('US Employee Payroll Cleaned'!A:A,MATCH('Lookup Sheet'!A313,'US Employee Payroll Cleaned'!G:G,0))</f>
        <v>6263.25</v>
      </c>
      <c r="D313" s="56" t="str">
        <f>_xlfn.XLOOKUP(A313,'US Employee Payroll Cleaned'!G:G,'US Employee Payroll Cleaned'!H:H,"Not found")</f>
        <v xml:space="preserve"> SHINE, DANIEL K</v>
      </c>
    </row>
    <row r="314" spans="1:4" x14ac:dyDescent="0.25">
      <c r="A314" s="21" t="s">
        <v>1009</v>
      </c>
      <c r="B314" s="12" t="str">
        <f>VLOOKUP(A314,'US Employee Payroll Cleaned'!G:N,2,FALSE)</f>
        <v xml:space="preserve"> MACIAS, LUIS</v>
      </c>
      <c r="C314" s="61">
        <f>INDEX('US Employee Payroll Cleaned'!A:A,MATCH('Lookup Sheet'!A314,'US Employee Payroll Cleaned'!G:G,0))</f>
        <v>883.13</v>
      </c>
      <c r="D314" s="56" t="str">
        <f>_xlfn.XLOOKUP(A314,'US Employee Payroll Cleaned'!G:G,'US Employee Payroll Cleaned'!H:H,"Not found")</f>
        <v xml:space="preserve"> MACIAS, LUIS</v>
      </c>
    </row>
    <row r="315" spans="1:4" x14ac:dyDescent="0.25">
      <c r="A315" s="21" t="s">
        <v>1016</v>
      </c>
      <c r="B315" s="12" t="str">
        <f>VLOOKUP(A315,'US Employee Payroll Cleaned'!G:N,2,FALSE)</f>
        <v xml:space="preserve"> RUBIO, JOSE I</v>
      </c>
      <c r="C315" s="61">
        <f>INDEX('US Employee Payroll Cleaned'!A:A,MATCH('Lookup Sheet'!A315,'US Employee Payroll Cleaned'!G:G,0))</f>
        <v>1934</v>
      </c>
      <c r="D315" s="56" t="str">
        <f>_xlfn.XLOOKUP(A315,'US Employee Payroll Cleaned'!G:G,'US Employee Payroll Cleaned'!H:H,"Not found")</f>
        <v xml:space="preserve"> RUBIO, JOSE I</v>
      </c>
    </row>
    <row r="316" spans="1:4" x14ac:dyDescent="0.25">
      <c r="A316" s="21" t="s">
        <v>1022</v>
      </c>
      <c r="B316" s="12" t="str">
        <f>VLOOKUP(A316,'US Employee Payroll Cleaned'!G:N,2,FALSE)</f>
        <v xml:space="preserve"> HOPKINS, TINA</v>
      </c>
      <c r="C316" s="61">
        <f>INDEX('US Employee Payroll Cleaned'!A:A,MATCH('Lookup Sheet'!A316,'US Employee Payroll Cleaned'!G:G,0))</f>
        <v>4082.25</v>
      </c>
      <c r="D316" s="56" t="str">
        <f>_xlfn.XLOOKUP(A316,'US Employee Payroll Cleaned'!G:G,'US Employee Payroll Cleaned'!H:H,"Not found")</f>
        <v xml:space="preserve"> HOPKINS, TINA</v>
      </c>
    </row>
    <row r="317" spans="1:4" x14ac:dyDescent="0.25">
      <c r="A317" s="21" t="s">
        <v>1025</v>
      </c>
      <c r="B317" s="12" t="str">
        <f>VLOOKUP(A317,'US Employee Payroll Cleaned'!G:N,2,FALSE)</f>
        <v xml:space="preserve"> SCHEJBAL, WILLIAM E</v>
      </c>
      <c r="C317" s="61">
        <f>INDEX('US Employee Payroll Cleaned'!A:A,MATCH('Lookup Sheet'!A317,'US Employee Payroll Cleaned'!G:G,0))</f>
        <v>4903.75</v>
      </c>
      <c r="D317" s="56" t="str">
        <f>_xlfn.XLOOKUP(A317,'US Employee Payroll Cleaned'!G:G,'US Employee Payroll Cleaned'!H:H,"Not found")</f>
        <v xml:space="preserve"> SCHEJBAL, WILLIAM E</v>
      </c>
    </row>
    <row r="318" spans="1:4" x14ac:dyDescent="0.25">
      <c r="A318" s="21" t="s">
        <v>1028</v>
      </c>
      <c r="B318" s="12" t="str">
        <f>VLOOKUP(A318,'US Employee Payroll Cleaned'!G:N,2,FALSE)</f>
        <v xml:space="preserve"> METTE, MICHAEL A</v>
      </c>
      <c r="C318" s="61">
        <f>INDEX('US Employee Payroll Cleaned'!A:A,MATCH('Lookup Sheet'!A318,'US Employee Payroll Cleaned'!G:G,0))</f>
        <v>4372.25</v>
      </c>
      <c r="D318" s="56" t="str">
        <f>_xlfn.XLOOKUP(A318,'US Employee Payroll Cleaned'!G:G,'US Employee Payroll Cleaned'!H:H,"Not found")</f>
        <v xml:space="preserve"> METTE, MICHAEL A</v>
      </c>
    </row>
    <row r="319" spans="1:4" x14ac:dyDescent="0.25">
      <c r="A319" s="21" t="s">
        <v>1031</v>
      </c>
      <c r="B319" s="12" t="str">
        <f>VLOOKUP(A319,'US Employee Payroll Cleaned'!G:N,2,FALSE)</f>
        <v xml:space="preserve"> VILLANUEVA, SALVADOR J</v>
      </c>
      <c r="C319" s="61">
        <f>INDEX('US Employee Payroll Cleaned'!A:A,MATCH('Lookup Sheet'!A319,'US Employee Payroll Cleaned'!G:G,0))</f>
        <v>4082.25</v>
      </c>
      <c r="D319" s="56" t="str">
        <f>_xlfn.XLOOKUP(A319,'US Employee Payroll Cleaned'!G:G,'US Employee Payroll Cleaned'!H:H,"Not found")</f>
        <v xml:space="preserve"> VILLANUEVA, SALVADOR J</v>
      </c>
    </row>
    <row r="320" spans="1:4" x14ac:dyDescent="0.25">
      <c r="A320" s="21" t="s">
        <v>1036</v>
      </c>
      <c r="B320" s="12" t="str">
        <f>VLOOKUP(A320,'US Employee Payroll Cleaned'!G:N,2,FALSE)</f>
        <v xml:space="preserve"> RODRIGUEZ JR, JAIME</v>
      </c>
      <c r="C320" s="61">
        <f>INDEX('US Employee Payroll Cleaned'!A:A,MATCH('Lookup Sheet'!A320,'US Employee Payroll Cleaned'!G:G,0))</f>
        <v>159.12</v>
      </c>
      <c r="D320" s="56" t="str">
        <f>_xlfn.XLOOKUP(A320,'US Employee Payroll Cleaned'!G:G,'US Employee Payroll Cleaned'!H:H,"Not found")</f>
        <v xml:space="preserve"> RODRIGUEZ JR, JAIME</v>
      </c>
    </row>
    <row r="321" spans="1:4" x14ac:dyDescent="0.25">
      <c r="A321" s="21" t="s">
        <v>1040</v>
      </c>
      <c r="B321" s="12" t="str">
        <f>VLOOKUP(A321,'US Employee Payroll Cleaned'!G:N,2,FALSE)</f>
        <v xml:space="preserve"> RILEY, J'MAL</v>
      </c>
      <c r="C321" s="61">
        <f>INDEX('US Employee Payroll Cleaned'!A:A,MATCH('Lookup Sheet'!A321,'US Employee Payroll Cleaned'!G:G,0))</f>
        <v>4571</v>
      </c>
      <c r="D321" s="56" t="str">
        <f>_xlfn.XLOOKUP(A321,'US Employee Payroll Cleaned'!G:G,'US Employee Payroll Cleaned'!H:H,"Not found")</f>
        <v xml:space="preserve"> RILEY, J'MAL</v>
      </c>
    </row>
    <row r="322" spans="1:4" x14ac:dyDescent="0.25">
      <c r="A322" s="21" t="s">
        <v>1045</v>
      </c>
      <c r="B322" s="12" t="str">
        <f>VLOOKUP(A322,'US Employee Payroll Cleaned'!G:N,2,FALSE)</f>
        <v xml:space="preserve"> CENTENO, JESUS M</v>
      </c>
      <c r="C322" s="61">
        <f>INDEX('US Employee Payroll Cleaned'!A:A,MATCH('Lookup Sheet'!A322,'US Employee Payroll Cleaned'!G:G,0))</f>
        <v>3672</v>
      </c>
      <c r="D322" s="56" t="str">
        <f>_xlfn.XLOOKUP(A322,'US Employee Payroll Cleaned'!G:G,'US Employee Payroll Cleaned'!H:H,"Not found")</f>
        <v xml:space="preserve"> CENTENO, JESUS M</v>
      </c>
    </row>
    <row r="323" spans="1:4" x14ac:dyDescent="0.25">
      <c r="A323" s="21" t="s">
        <v>1052</v>
      </c>
      <c r="B323" s="12" t="str">
        <f>VLOOKUP(A323,'US Employee Payroll Cleaned'!G:N,2,FALSE)</f>
        <v xml:space="preserve"> RIOS, CANDACE M</v>
      </c>
      <c r="C323" s="61">
        <f>INDEX('US Employee Payroll Cleaned'!A:A,MATCH('Lookup Sheet'!A323,'US Employee Payroll Cleaned'!G:G,0))</f>
        <v>2589</v>
      </c>
      <c r="D323" s="56" t="str">
        <f>_xlfn.XLOOKUP(A323,'US Employee Payroll Cleaned'!G:G,'US Employee Payroll Cleaned'!H:H,"Not found")</f>
        <v xml:space="preserve"> RIOS, CANDACE M</v>
      </c>
    </row>
    <row r="324" spans="1:4" x14ac:dyDescent="0.25">
      <c r="A324" s="21" t="s">
        <v>1059</v>
      </c>
      <c r="B324" s="12" t="str">
        <f>VLOOKUP(A324,'US Employee Payroll Cleaned'!G:N,2,FALSE)</f>
        <v xml:space="preserve"> ROBINSON, PAPRICE A</v>
      </c>
      <c r="C324" s="61">
        <f>INDEX('US Employee Payroll Cleaned'!A:A,MATCH('Lookup Sheet'!A324,'US Employee Payroll Cleaned'!G:G,0))</f>
        <v>522.6</v>
      </c>
      <c r="D324" s="56" t="str">
        <f>_xlfn.XLOOKUP(A324,'US Employee Payroll Cleaned'!G:G,'US Employee Payroll Cleaned'!H:H,"Not found")</f>
        <v xml:space="preserve"> ROBINSON, PAPRICE A</v>
      </c>
    </row>
    <row r="325" spans="1:4" x14ac:dyDescent="0.25">
      <c r="A325" s="21" t="s">
        <v>1065</v>
      </c>
      <c r="B325" s="12" t="str">
        <f>VLOOKUP(A325,'US Employee Payroll Cleaned'!G:N,2,FALSE)</f>
        <v xml:space="preserve"> RUSSELL, FELICIA</v>
      </c>
      <c r="C325" s="61">
        <f>INDEX('US Employee Payroll Cleaned'!A:A,MATCH('Lookup Sheet'!A325,'US Employee Payroll Cleaned'!G:G,0))</f>
        <v>4287.75</v>
      </c>
      <c r="D325" s="56" t="str">
        <f>_xlfn.XLOOKUP(A325,'US Employee Payroll Cleaned'!G:G,'US Employee Payroll Cleaned'!H:H,"Not found")</f>
        <v xml:space="preserve"> RUSSELL, FELICIA</v>
      </c>
    </row>
    <row r="326" spans="1:4" x14ac:dyDescent="0.25">
      <c r="A326" s="21" t="s">
        <v>1070</v>
      </c>
      <c r="B326" s="12" t="str">
        <f>VLOOKUP(A326,'US Employee Payroll Cleaned'!G:N,2,FALSE)</f>
        <v xml:space="preserve"> HERMES, MARK J</v>
      </c>
      <c r="C326" s="61">
        <f>INDEX('US Employee Payroll Cleaned'!A:A,MATCH('Lookup Sheet'!A326,'US Employee Payroll Cleaned'!G:G,0))</f>
        <v>4121</v>
      </c>
      <c r="D326" s="56" t="str">
        <f>_xlfn.XLOOKUP(A326,'US Employee Payroll Cleaned'!G:G,'US Employee Payroll Cleaned'!H:H,"Not found")</f>
        <v xml:space="preserve"> HERMES, MARK J</v>
      </c>
    </row>
    <row r="327" spans="1:4" x14ac:dyDescent="0.25">
      <c r="A327" s="21" t="s">
        <v>1075</v>
      </c>
      <c r="B327" s="12" t="str">
        <f>VLOOKUP(A327,'US Employee Payroll Cleaned'!G:N,2,FALSE)</f>
        <v xml:space="preserve"> ALAM, SYED S</v>
      </c>
      <c r="C327" s="61">
        <f>INDEX('US Employee Payroll Cleaned'!A:A,MATCH('Lookup Sheet'!A327,'US Employee Payroll Cleaned'!G:G,0))</f>
        <v>4982.5</v>
      </c>
      <c r="D327" s="56" t="str">
        <f>_xlfn.XLOOKUP(A327,'US Employee Payroll Cleaned'!G:G,'US Employee Payroll Cleaned'!H:H,"Not found")</f>
        <v xml:space="preserve"> ALAM, SYED S</v>
      </c>
    </row>
    <row r="328" spans="1:4" x14ac:dyDescent="0.25">
      <c r="A328" s="51">
        <v>2884670000000</v>
      </c>
      <c r="B328" s="12" t="str">
        <f>VLOOKUP(A328,'US Employee Payroll Cleaned'!G:N,2,FALSE)</f>
        <v xml:space="preserve"> BADZIOCH, KRISTEN N</v>
      </c>
      <c r="C328" s="61">
        <f>INDEX('US Employee Payroll Cleaned'!A:A,MATCH('Lookup Sheet'!A328,'US Employee Payroll Cleaned'!G:G,0))</f>
        <v>324.98</v>
      </c>
      <c r="D328" s="56" t="str">
        <f>_xlfn.XLOOKUP(A328,'US Employee Payroll Cleaned'!G:G,'US Employee Payroll Cleaned'!H:H,"Not found")</f>
        <v xml:space="preserve"> BADZIOCH, KRISTEN N</v>
      </c>
    </row>
    <row r="329" spans="1:4" x14ac:dyDescent="0.25">
      <c r="A329" s="21" t="s">
        <v>1083</v>
      </c>
      <c r="B329" s="12" t="str">
        <f>VLOOKUP(A329,'US Employee Payroll Cleaned'!G:N,2,FALSE)</f>
        <v xml:space="preserve"> WILSON, LACHANYA</v>
      </c>
      <c r="C329" s="61">
        <f>INDEX('US Employee Payroll Cleaned'!A:A,MATCH('Lookup Sheet'!A329,'US Employee Payroll Cleaned'!G:G,0))</f>
        <v>3347.5</v>
      </c>
      <c r="D329" s="56" t="str">
        <f>_xlfn.XLOOKUP(A329,'US Employee Payroll Cleaned'!G:G,'US Employee Payroll Cleaned'!H:H,"Not found")</f>
        <v xml:space="preserve"> WILSON, LACHANYA</v>
      </c>
    </row>
    <row r="330" spans="1:4" x14ac:dyDescent="0.25">
      <c r="A330" s="21" t="s">
        <v>1087</v>
      </c>
      <c r="B330" s="12" t="str">
        <f>VLOOKUP(A330,'US Employee Payroll Cleaned'!G:N,2,FALSE)</f>
        <v xml:space="preserve"> VAZQUEZ, DAVE</v>
      </c>
      <c r="C330" s="61">
        <f>INDEX('US Employee Payroll Cleaned'!A:A,MATCH('Lookup Sheet'!A330,'US Employee Payroll Cleaned'!G:G,0))</f>
        <v>423.93</v>
      </c>
      <c r="D330" s="56" t="str">
        <f>_xlfn.XLOOKUP(A330,'US Employee Payroll Cleaned'!G:G,'US Employee Payroll Cleaned'!H:H,"Not found")</f>
        <v xml:space="preserve"> VAZQUEZ, DAVE</v>
      </c>
    </row>
    <row r="331" spans="1:4" x14ac:dyDescent="0.25">
      <c r="A331" s="21" t="s">
        <v>1092</v>
      </c>
      <c r="B331" s="12" t="str">
        <f>VLOOKUP(A331,'US Employee Payroll Cleaned'!G:N,2,FALSE)</f>
        <v xml:space="preserve"> SANTIAGO, DANGELO L</v>
      </c>
      <c r="C331" s="61">
        <f>INDEX('US Employee Payroll Cleaned'!A:A,MATCH('Lookup Sheet'!A331,'US Employee Payroll Cleaned'!G:G,0))</f>
        <v>1762.56</v>
      </c>
      <c r="D331" s="56" t="str">
        <f>_xlfn.XLOOKUP(A331,'US Employee Payroll Cleaned'!G:G,'US Employee Payroll Cleaned'!H:H,"Not found")</f>
        <v xml:space="preserve"> SANTIAGO, DANGELO L</v>
      </c>
    </row>
    <row r="332" spans="1:4" x14ac:dyDescent="0.25">
      <c r="A332" s="21" t="s">
        <v>1097</v>
      </c>
      <c r="B332" s="12" t="str">
        <f>VLOOKUP(A332,'US Employee Payroll Cleaned'!G:N,2,FALSE)</f>
        <v xml:space="preserve"> FINN, PATRICK T</v>
      </c>
      <c r="C332" s="61">
        <f>INDEX('US Employee Payroll Cleaned'!A:A,MATCH('Lookup Sheet'!A332,'US Employee Payroll Cleaned'!G:G,0))</f>
        <v>58.08</v>
      </c>
      <c r="D332" s="56" t="str">
        <f>_xlfn.XLOOKUP(A332,'US Employee Payroll Cleaned'!G:G,'US Employee Payroll Cleaned'!H:H,"Not found")</f>
        <v xml:space="preserve"> FINN, PATRICK T</v>
      </c>
    </row>
    <row r="333" spans="1:4" x14ac:dyDescent="0.25">
      <c r="A333" s="21" t="s">
        <v>1101</v>
      </c>
      <c r="B333" s="12" t="str">
        <f>VLOOKUP(A333,'US Employee Payroll Cleaned'!G:N,2,FALSE)</f>
        <v xml:space="preserve"> GEMBALA, ROBERT M</v>
      </c>
      <c r="C333" s="61">
        <f>INDEX('US Employee Payroll Cleaned'!A:A,MATCH('Lookup Sheet'!A333,'US Employee Payroll Cleaned'!G:G,0))</f>
        <v>155.97</v>
      </c>
      <c r="D333" s="56" t="str">
        <f>_xlfn.XLOOKUP(A333,'US Employee Payroll Cleaned'!G:G,'US Employee Payroll Cleaned'!H:H,"Not found")</f>
        <v xml:space="preserve"> GEMBALA, ROBERT M</v>
      </c>
    </row>
    <row r="334" spans="1:4" x14ac:dyDescent="0.25">
      <c r="A334" s="21" t="s">
        <v>193</v>
      </c>
      <c r="B334" s="12" t="str">
        <f>VLOOKUP(A334,'US Employee Payroll Cleaned'!G:N,2,FALSE)</f>
        <v xml:space="preserve"> MORENO, BRIAN K</v>
      </c>
      <c r="C334" s="61">
        <f>INDEX('US Employee Payroll Cleaned'!A:A,MATCH('Lookup Sheet'!A334,'US Employee Payroll Cleaned'!G:G,0))</f>
        <v>-1378.03</v>
      </c>
      <c r="D334" s="56" t="str">
        <f>_xlfn.XLOOKUP(A334,'US Employee Payroll Cleaned'!G:G,'US Employee Payroll Cleaned'!H:H,"Not found")</f>
        <v xml:space="preserve"> MORENO, BRIAN K</v>
      </c>
    </row>
    <row r="335" spans="1:4" x14ac:dyDescent="0.25">
      <c r="A335" s="21" t="s">
        <v>1108</v>
      </c>
      <c r="B335" s="12" t="str">
        <f>VLOOKUP(A335,'US Employee Payroll Cleaned'!G:N,2,FALSE)</f>
        <v xml:space="preserve"> MOTA, ROSENDO</v>
      </c>
      <c r="C335" s="61">
        <f>INDEX('US Employee Payroll Cleaned'!A:A,MATCH('Lookup Sheet'!A335,'US Employee Payroll Cleaned'!G:G,0))</f>
        <v>4659</v>
      </c>
      <c r="D335" s="56" t="str">
        <f>_xlfn.XLOOKUP(A335,'US Employee Payroll Cleaned'!G:G,'US Employee Payroll Cleaned'!H:H,"Not found")</f>
        <v xml:space="preserve"> MOTA, ROSENDO</v>
      </c>
    </row>
    <row r="336" spans="1:4" x14ac:dyDescent="0.25">
      <c r="A336" s="21" t="s">
        <v>513</v>
      </c>
      <c r="B336" s="12" t="str">
        <f>VLOOKUP(A336,'US Employee Payroll Cleaned'!G:N,2,FALSE)</f>
        <v xml:space="preserve"> ROSCHEN, MARK E</v>
      </c>
      <c r="C336" s="61">
        <f>INDEX('US Employee Payroll Cleaned'!A:A,MATCH('Lookup Sheet'!A336,'US Employee Payroll Cleaned'!G:G,0))</f>
        <v>4534</v>
      </c>
      <c r="D336" s="56" t="str">
        <f>_xlfn.XLOOKUP(A336,'US Employee Payroll Cleaned'!G:G,'US Employee Payroll Cleaned'!H:H,"Not found")</f>
        <v xml:space="preserve"> ROSCHEN, MARK E</v>
      </c>
    </row>
    <row r="337" spans="1:4" x14ac:dyDescent="0.25">
      <c r="A337" s="21" t="s">
        <v>283</v>
      </c>
      <c r="B337" s="12" t="str">
        <f>VLOOKUP(A337,'US Employee Payroll Cleaned'!G:N,2,FALSE)</f>
        <v xml:space="preserve"> ALNASER, ANNA Y</v>
      </c>
      <c r="C337" s="61">
        <f>INDEX('US Employee Payroll Cleaned'!A:A,MATCH('Lookup Sheet'!A337,'US Employee Payroll Cleaned'!G:G,0))</f>
        <v>2783.5</v>
      </c>
      <c r="D337" s="56" t="str">
        <f>_xlfn.XLOOKUP(A337,'US Employee Payroll Cleaned'!G:G,'US Employee Payroll Cleaned'!H:H,"Not found")</f>
        <v xml:space="preserve"> ALNASER, ANNA Y</v>
      </c>
    </row>
    <row r="338" spans="1:4" x14ac:dyDescent="0.25">
      <c r="A338" s="21" t="s">
        <v>1115</v>
      </c>
      <c r="B338" s="12" t="str">
        <f>VLOOKUP(A338,'US Employee Payroll Cleaned'!G:N,2,FALSE)</f>
        <v xml:space="preserve"> GLASS, ERIK L</v>
      </c>
      <c r="C338" s="61">
        <f>INDEX('US Employee Payroll Cleaned'!A:A,MATCH('Lookup Sheet'!A338,'US Employee Payroll Cleaned'!G:G,0))</f>
        <v>4672</v>
      </c>
      <c r="D338" s="56" t="str">
        <f>_xlfn.XLOOKUP(A338,'US Employee Payroll Cleaned'!G:G,'US Employee Payroll Cleaned'!H:H,"Not found")</f>
        <v xml:space="preserve"> GLASS, ERIK L</v>
      </c>
    </row>
    <row r="339" spans="1:4" x14ac:dyDescent="0.25">
      <c r="A339" s="51" t="s">
        <v>111</v>
      </c>
      <c r="B339" s="12" t="str">
        <f>VLOOKUP(A339,'US Employee Payroll Cleaned'!G:N,2,FALSE)</f>
        <v xml:space="preserve"> ROBACK, BRADLEY G</v>
      </c>
      <c r="C339" s="61">
        <f>INDEX('US Employee Payroll Cleaned'!A:A,MATCH('Lookup Sheet'!A339,'US Employee Payroll Cleaned'!G:G,0))</f>
        <v>4536</v>
      </c>
      <c r="D339" s="56" t="str">
        <f>_xlfn.XLOOKUP(A339,'US Employee Payroll Cleaned'!G:G,'US Employee Payroll Cleaned'!H:H,"Not found")</f>
        <v xml:space="preserve"> ROBACK, BRADLEY G</v>
      </c>
    </row>
    <row r="340" spans="1:4" x14ac:dyDescent="0.25">
      <c r="A340" s="21" t="s">
        <v>688</v>
      </c>
      <c r="B340" s="12" t="str">
        <f>VLOOKUP(A340,'US Employee Payroll Cleaned'!G:N,2,FALSE)</f>
        <v xml:space="preserve"> STRAZZABOSCO, PETER L</v>
      </c>
      <c r="C340" s="61">
        <f>INDEX('US Employee Payroll Cleaned'!A:A,MATCH('Lookup Sheet'!A340,'US Employee Payroll Cleaned'!G:G,0))</f>
        <v>5317</v>
      </c>
      <c r="D340" s="56" t="str">
        <f>_xlfn.XLOOKUP(A340,'US Employee Payroll Cleaned'!G:G,'US Employee Payroll Cleaned'!H:H,"Not found")</f>
        <v xml:space="preserve"> STRAZZABOSCO, PETER L</v>
      </c>
    </row>
    <row r="341" spans="1:4" x14ac:dyDescent="0.25">
      <c r="A341" s="21" t="s">
        <v>654</v>
      </c>
      <c r="B341" s="12" t="str">
        <f>VLOOKUP(A341,'US Employee Payroll Cleaned'!G:N,2,FALSE)</f>
        <v xml:space="preserve"> COX, MAURICE D</v>
      </c>
      <c r="C341" s="61">
        <f>INDEX('US Employee Payroll Cleaned'!A:A,MATCH('Lookup Sheet'!A341,'US Employee Payroll Cleaned'!G:G,0))</f>
        <v>8123.5</v>
      </c>
      <c r="D341" s="56" t="str">
        <f>_xlfn.XLOOKUP(A341,'US Employee Payroll Cleaned'!G:G,'US Employee Payroll Cleaned'!H:H,"Not found")</f>
        <v xml:space="preserve"> COX, MAURICE D</v>
      </c>
    </row>
    <row r="342" spans="1:4" x14ac:dyDescent="0.25">
      <c r="A342" s="21" t="s">
        <v>423</v>
      </c>
      <c r="B342" s="12" t="str">
        <f>VLOOKUP(A342,'US Employee Payroll Cleaned'!G:N,2,FALSE)</f>
        <v xml:space="preserve"> O'CONNOR, STEPHANIE K</v>
      </c>
      <c r="C342" s="61">
        <f>INDEX('US Employee Payroll Cleaned'!A:A,MATCH('Lookup Sheet'!A342,'US Employee Payroll Cleaned'!G:G,0))</f>
        <v>3467</v>
      </c>
      <c r="D342" s="56" t="str">
        <f>_xlfn.XLOOKUP(A342,'US Employee Payroll Cleaned'!G:G,'US Employee Payroll Cleaned'!H:H,"Not found")</f>
        <v xml:space="preserve"> O'CONNOR, STEPHANIE K</v>
      </c>
    </row>
    <row r="343" spans="1:4" x14ac:dyDescent="0.25">
      <c r="A343" s="21" t="s">
        <v>258</v>
      </c>
      <c r="B343" s="12" t="str">
        <f>VLOOKUP(A343,'US Employee Payroll Cleaned'!G:N,2,FALSE)</f>
        <v xml:space="preserve"> MUNGIN, WHITNI E</v>
      </c>
      <c r="C343" s="61">
        <f>INDEX('US Employee Payroll Cleaned'!A:A,MATCH('Lookup Sheet'!A343,'US Employee Payroll Cleaned'!G:G,0))</f>
        <v>4229.5</v>
      </c>
      <c r="D343" s="56" t="str">
        <f>_xlfn.XLOOKUP(A343,'US Employee Payroll Cleaned'!G:G,'US Employee Payroll Cleaned'!H:H,"Not found")</f>
        <v xml:space="preserve"> MUNGIN, WHITNI E</v>
      </c>
    </row>
    <row r="344" spans="1:4" x14ac:dyDescent="0.25">
      <c r="A344" s="21" t="s">
        <v>24</v>
      </c>
      <c r="B344" s="12" t="str">
        <f>VLOOKUP(A344,'US Employee Payroll Cleaned'!G:N,2,FALSE)</f>
        <v xml:space="preserve"> TACCAD, CLARIBEL</v>
      </c>
      <c r="C344" s="61">
        <f>INDEX('US Employee Payroll Cleaned'!A:A,MATCH('Lookup Sheet'!A344,'US Employee Payroll Cleaned'!G:G,0))</f>
        <v>3556</v>
      </c>
      <c r="D344" s="56" t="str">
        <f>_xlfn.XLOOKUP(A344,'US Employee Payroll Cleaned'!G:G,'US Employee Payroll Cleaned'!H:H,"Not found")</f>
        <v xml:space="preserve"> TACCAD, CLARIBEL</v>
      </c>
    </row>
    <row r="345" spans="1:4" x14ac:dyDescent="0.25">
      <c r="A345" s="21" t="s">
        <v>683</v>
      </c>
      <c r="B345" s="12" t="str">
        <f>VLOOKUP(A345,'US Employee Payroll Cleaned'!G:N,2,FALSE)</f>
        <v xml:space="preserve"> SPERRY, HEIDI L</v>
      </c>
      <c r="C345" s="61">
        <f>INDEX('US Employee Payroll Cleaned'!A:A,MATCH('Lookup Sheet'!A345,'US Employee Payroll Cleaned'!G:G,0))</f>
        <v>4423</v>
      </c>
      <c r="D345" s="56" t="str">
        <f>_xlfn.XLOOKUP(A345,'US Employee Payroll Cleaned'!G:G,'US Employee Payroll Cleaned'!H:H,"Not found")</f>
        <v xml:space="preserve"> SPERRY, HEIDI L</v>
      </c>
    </row>
    <row r="346" spans="1:4" x14ac:dyDescent="0.25">
      <c r="A346" s="21" t="s">
        <v>50</v>
      </c>
      <c r="B346" s="12" t="str">
        <f>VLOOKUP(A346,'US Employee Payroll Cleaned'!G:N,2,FALSE)</f>
        <v xml:space="preserve"> BARTON, EMILY M</v>
      </c>
      <c r="C346" s="61">
        <f>INDEX('US Employee Payroll Cleaned'!A:A,MATCH('Lookup Sheet'!A346,'US Employee Payroll Cleaned'!G:G,0))</f>
        <v>3340.5</v>
      </c>
      <c r="D346" s="56" t="str">
        <f>_xlfn.XLOOKUP(A346,'US Employee Payroll Cleaned'!G:G,'US Employee Payroll Cleaned'!H:H,"Not found")</f>
        <v xml:space="preserve"> BARTON, EMILY M</v>
      </c>
    </row>
    <row r="347" spans="1:4" x14ac:dyDescent="0.25">
      <c r="A347" s="21" t="s">
        <v>688</v>
      </c>
      <c r="B347" s="12" t="str">
        <f>VLOOKUP(A347,'US Employee Payroll Cleaned'!G:N,2,FALSE)</f>
        <v xml:space="preserve"> STRAZZABOSCO, PETER L</v>
      </c>
      <c r="C347" s="61">
        <f>INDEX('US Employee Payroll Cleaned'!A:A,MATCH('Lookup Sheet'!A347,'US Employee Payroll Cleaned'!G:G,0))</f>
        <v>5317</v>
      </c>
      <c r="D347" s="56" t="str">
        <f>_xlfn.XLOOKUP(A347,'US Employee Payroll Cleaned'!G:G,'US Employee Payroll Cleaned'!H:H,"Not found")</f>
        <v xml:space="preserve"> STRAZZABOSCO, PETER L</v>
      </c>
    </row>
    <row r="348" spans="1:4" x14ac:dyDescent="0.25">
      <c r="A348" s="21" t="s">
        <v>325</v>
      </c>
      <c r="B348" s="12" t="str">
        <f>VLOOKUP(A348,'US Employee Payroll Cleaned'!G:N,2,FALSE)</f>
        <v xml:space="preserve"> WINDMON, HEATHER E</v>
      </c>
      <c r="C348" s="61">
        <f>INDEX('US Employee Payroll Cleaned'!A:A,MATCH('Lookup Sheet'!A348,'US Employee Payroll Cleaned'!G:G,0))</f>
        <v>2206.5</v>
      </c>
      <c r="D348" s="56" t="str">
        <f>_xlfn.XLOOKUP(A348,'US Employee Payroll Cleaned'!G:G,'US Employee Payroll Cleaned'!H:H,"Not found")</f>
        <v xml:space="preserve"> WINDMON, HEATHER E</v>
      </c>
    </row>
    <row r="349" spans="1:4" x14ac:dyDescent="0.25">
      <c r="A349" s="21" t="s">
        <v>622</v>
      </c>
      <c r="B349" s="12" t="str">
        <f>VLOOKUP(A349,'US Employee Payroll Cleaned'!G:N,2,FALSE)</f>
        <v xml:space="preserve"> ESENBERG, BRYAN</v>
      </c>
      <c r="C349" s="61">
        <f>INDEX('US Employee Payroll Cleaned'!A:A,MATCH('Lookup Sheet'!A349,'US Employee Payroll Cleaned'!G:G,0))</f>
        <v>6502.5</v>
      </c>
      <c r="D349" s="56" t="str">
        <f>_xlfn.XLOOKUP(A349,'US Employee Payroll Cleaned'!G:G,'US Employee Payroll Cleaned'!H:H,"Not found")</f>
        <v xml:space="preserve"> ESENBERG, BRYAN</v>
      </c>
    </row>
    <row r="350" spans="1:4" x14ac:dyDescent="0.25">
      <c r="A350" s="21" t="s">
        <v>1130</v>
      </c>
      <c r="B350" s="12" t="str">
        <f>VLOOKUP(A350,'US Employee Payroll Cleaned'!G:N,2,FALSE)</f>
        <v xml:space="preserve"> RODRIGUEZ, JOCELYN</v>
      </c>
      <c r="C350" s="61">
        <f>INDEX('US Employee Payroll Cleaned'!A:A,MATCH('Lookup Sheet'!A350,'US Employee Payroll Cleaned'!G:G,0))</f>
        <v>485.1</v>
      </c>
      <c r="D350" s="56" t="str">
        <f>_xlfn.XLOOKUP(A350,'US Employee Payroll Cleaned'!G:G,'US Employee Payroll Cleaned'!H:H,"Not found")</f>
        <v xml:space="preserve"> RODRIGUEZ, JOCELYN</v>
      </c>
    </row>
    <row r="351" spans="1:4" x14ac:dyDescent="0.25">
      <c r="A351" s="21" t="s">
        <v>1134</v>
      </c>
      <c r="B351" s="12" t="str">
        <f>VLOOKUP(A351,'US Employee Payroll Cleaned'!G:N,2,FALSE)</f>
        <v xml:space="preserve"> PIERRE, LUDNA S</v>
      </c>
      <c r="C351" s="61">
        <f>INDEX('US Employee Payroll Cleaned'!A:A,MATCH('Lookup Sheet'!A351,'US Employee Payroll Cleaned'!G:G,0))</f>
        <v>519.75</v>
      </c>
      <c r="D351" s="56" t="str">
        <f>_xlfn.XLOOKUP(A351,'US Employee Payroll Cleaned'!G:G,'US Employee Payroll Cleaned'!H:H,"Not found")</f>
        <v xml:space="preserve"> PIERRE, LUDNA S</v>
      </c>
    </row>
    <row r="352" spans="1:4" x14ac:dyDescent="0.25">
      <c r="A352" s="21" t="s">
        <v>626</v>
      </c>
      <c r="B352" s="12" t="str">
        <f>VLOOKUP(A352,'US Employee Payroll Cleaned'!G:N,2,FALSE)</f>
        <v xml:space="preserve"> MALAKPOUR, SOUSAN</v>
      </c>
      <c r="C352" s="61">
        <f>INDEX('US Employee Payroll Cleaned'!A:A,MATCH('Lookup Sheet'!A352,'US Employee Payroll Cleaned'!G:G,0))</f>
        <v>3867.5</v>
      </c>
      <c r="D352" s="56" t="str">
        <f>_xlfn.XLOOKUP(A352,'US Employee Payroll Cleaned'!G:G,'US Employee Payroll Cleaned'!H:H,"Not found")</f>
        <v xml:space="preserve"> MALAKPOUR, SOUSAN</v>
      </c>
    </row>
    <row r="353" spans="1:4" x14ac:dyDescent="0.25">
      <c r="A353" s="21" t="s">
        <v>568</v>
      </c>
      <c r="B353" s="12" t="str">
        <f>VLOOKUP(A353,'US Employee Payroll Cleaned'!G:N,2,FALSE)</f>
        <v xml:space="preserve"> DUPLAGA, ALICIA</v>
      </c>
      <c r="C353" s="61">
        <f>INDEX('US Employee Payroll Cleaned'!A:A,MATCH('Lookup Sheet'!A353,'US Employee Payroll Cleaned'!G:G,0))</f>
        <v>3902.5</v>
      </c>
      <c r="D353" s="56" t="str">
        <f>_xlfn.XLOOKUP(A353,'US Employee Payroll Cleaned'!G:G,'US Employee Payroll Cleaned'!H:H,"Not found")</f>
        <v xml:space="preserve"> DUPLAGA, ALICIA</v>
      </c>
    </row>
    <row r="354" spans="1:4" x14ac:dyDescent="0.25">
      <c r="A354" s="21" t="s">
        <v>213</v>
      </c>
      <c r="B354" s="12" t="str">
        <f>VLOOKUP(A354,'US Employee Payroll Cleaned'!G:N,2,FALSE)</f>
        <v xml:space="preserve"> HOLLAND, WILLIAM R</v>
      </c>
      <c r="C354" s="61">
        <f>INDEX('US Employee Payroll Cleaned'!A:A,MATCH('Lookup Sheet'!A354,'US Employee Payroll Cleaned'!G:G,0))</f>
        <v>3250</v>
      </c>
      <c r="D354" s="56" t="str">
        <f>_xlfn.XLOOKUP(A354,'US Employee Payroll Cleaned'!G:G,'US Employee Payroll Cleaned'!H:H,"Not found")</f>
        <v xml:space="preserve"> HOLLAND, WILLIAM R</v>
      </c>
    </row>
    <row r="355" spans="1:4" x14ac:dyDescent="0.25">
      <c r="A355" s="21" t="s">
        <v>1140</v>
      </c>
      <c r="B355" s="12" t="str">
        <f>VLOOKUP(A355,'US Employee Payroll Cleaned'!G:N,2,FALSE)</f>
        <v xml:space="preserve"> CRAWFORD, MATTHEW G</v>
      </c>
      <c r="C355" s="61">
        <f>INDEX('US Employee Payroll Cleaned'!A:A,MATCH('Lookup Sheet'!A355,'US Employee Payroll Cleaned'!G:G,0))</f>
        <v>4271.5</v>
      </c>
      <c r="D355" s="56" t="str">
        <f>_xlfn.XLOOKUP(A355,'US Employee Payroll Cleaned'!G:G,'US Employee Payroll Cleaned'!H:H,"Not found")</f>
        <v xml:space="preserve"> CRAWFORD, MATTHEW G</v>
      </c>
    </row>
    <row r="356" spans="1:4" x14ac:dyDescent="0.25">
      <c r="A356" s="21" t="s">
        <v>597</v>
      </c>
      <c r="B356" s="12" t="str">
        <f>VLOOKUP(A356,'US Employee Payroll Cleaned'!G:N,2,FALSE)</f>
        <v xml:space="preserve"> CUVALO, DIJANA</v>
      </c>
      <c r="C356" s="61">
        <f>INDEX('US Employee Payroll Cleaned'!A:A,MATCH('Lookup Sheet'!A356,'US Employee Payroll Cleaned'!G:G,0))</f>
        <v>5088</v>
      </c>
      <c r="D356" s="56" t="str">
        <f>_xlfn.XLOOKUP(A356,'US Employee Payroll Cleaned'!G:G,'US Employee Payroll Cleaned'!H:H,"Not found")</f>
        <v xml:space="preserve"> CUVALO, DIJANA</v>
      </c>
    </row>
    <row r="357" spans="1:4" x14ac:dyDescent="0.25">
      <c r="A357" s="21" t="s">
        <v>292</v>
      </c>
      <c r="B357" s="12" t="str">
        <f>VLOOKUP(A357,'US Employee Payroll Cleaned'!G:N,2,FALSE)</f>
        <v xml:space="preserve"> ROUBIK, CYNTHIA J</v>
      </c>
      <c r="C357" s="61">
        <f>INDEX('US Employee Payroll Cleaned'!A:A,MATCH('Lookup Sheet'!A357,'US Employee Payroll Cleaned'!G:G,0))</f>
        <v>5317</v>
      </c>
      <c r="D357" s="56" t="str">
        <f>_xlfn.XLOOKUP(A357,'US Employee Payroll Cleaned'!G:G,'US Employee Payroll Cleaned'!H:H,"Not found")</f>
        <v xml:space="preserve"> ROUBIK, CYNTHIA J</v>
      </c>
    </row>
    <row r="358" spans="1:4" x14ac:dyDescent="0.25">
      <c r="A358" s="21" t="s">
        <v>62</v>
      </c>
      <c r="B358" s="12" t="str">
        <f>VLOOKUP(A358,'US Employee Payroll Cleaned'!G:N,2,FALSE)</f>
        <v xml:space="preserve"> ALBERT, DAMIAN K</v>
      </c>
      <c r="C358" s="61">
        <f>INDEX('US Employee Payroll Cleaned'!A:A,MATCH('Lookup Sheet'!A358,'US Employee Payroll Cleaned'!G:G,0))</f>
        <v>-194.51</v>
      </c>
      <c r="D358" s="56" t="str">
        <f>_xlfn.XLOOKUP(A358,'US Employee Payroll Cleaned'!G:G,'US Employee Payroll Cleaned'!H:H,"Not found")</f>
        <v xml:space="preserve"> ALBERT, DAMIAN K</v>
      </c>
    </row>
    <row r="359" spans="1:4" x14ac:dyDescent="0.25">
      <c r="A359" s="51" t="s">
        <v>111</v>
      </c>
      <c r="B359" s="12" t="str">
        <f>VLOOKUP(A359,'US Employee Payroll Cleaned'!G:N,2,FALSE)</f>
        <v xml:space="preserve"> ROBACK, BRADLEY G</v>
      </c>
      <c r="C359" s="61">
        <f>INDEX('US Employee Payroll Cleaned'!A:A,MATCH('Lookup Sheet'!A359,'US Employee Payroll Cleaned'!G:G,0))</f>
        <v>4536</v>
      </c>
      <c r="D359" s="56" t="str">
        <f>_xlfn.XLOOKUP(A359,'US Employee Payroll Cleaned'!G:G,'US Employee Payroll Cleaned'!H:H,"Not found")</f>
        <v xml:space="preserve"> ROBACK, BRADLEY G</v>
      </c>
    </row>
    <row r="360" spans="1:4" x14ac:dyDescent="0.25">
      <c r="A360" s="21" t="s">
        <v>562</v>
      </c>
      <c r="B360" s="12" t="str">
        <f>VLOOKUP(A360,'US Employee Payroll Cleaned'!G:N,2,FALSE)</f>
        <v xml:space="preserve"> CASSIDY, MARGARET O</v>
      </c>
      <c r="C360" s="61">
        <f>INDEX('US Employee Payroll Cleaned'!A:A,MATCH('Lookup Sheet'!A360,'US Employee Payroll Cleaned'!G:G,0))</f>
        <v>3560.5</v>
      </c>
      <c r="D360" s="56" t="str">
        <f>_xlfn.XLOOKUP(A360,'US Employee Payroll Cleaned'!G:G,'US Employee Payroll Cleaned'!H:H,"Not found")</f>
        <v xml:space="preserve"> CASSIDY, MARGARET O</v>
      </c>
    </row>
    <row r="361" spans="1:4" x14ac:dyDescent="0.25">
      <c r="A361" s="21" t="s">
        <v>654</v>
      </c>
      <c r="B361" s="12" t="str">
        <f>VLOOKUP(A361,'US Employee Payroll Cleaned'!G:N,2,FALSE)</f>
        <v xml:space="preserve"> COX, MAURICE D</v>
      </c>
      <c r="C361" s="61">
        <f>INDEX('US Employee Payroll Cleaned'!A:A,MATCH('Lookup Sheet'!A361,'US Employee Payroll Cleaned'!G:G,0))</f>
        <v>8123.5</v>
      </c>
      <c r="D361" s="56" t="str">
        <f>_xlfn.XLOOKUP(A361,'US Employee Payroll Cleaned'!G:G,'US Employee Payroll Cleaned'!H:H,"Not found")</f>
        <v xml:space="preserve"> COX, MAURICE D</v>
      </c>
    </row>
    <row r="362" spans="1:4" x14ac:dyDescent="0.25">
      <c r="A362" s="21" t="s">
        <v>1134</v>
      </c>
      <c r="B362" s="12" t="str">
        <f>VLOOKUP(A362,'US Employee Payroll Cleaned'!G:N,2,FALSE)</f>
        <v xml:space="preserve"> PIERRE, LUDNA S</v>
      </c>
      <c r="C362" s="61">
        <f>INDEX('US Employee Payroll Cleaned'!A:A,MATCH('Lookup Sheet'!A362,'US Employee Payroll Cleaned'!G:G,0))</f>
        <v>519.75</v>
      </c>
      <c r="D362" s="56" t="str">
        <f>_xlfn.XLOOKUP(A362,'US Employee Payroll Cleaned'!G:G,'US Employee Payroll Cleaned'!H:H,"Not found")</f>
        <v xml:space="preserve"> PIERRE, LUDNA S</v>
      </c>
    </row>
    <row r="363" spans="1:4" x14ac:dyDescent="0.25">
      <c r="A363" s="21" t="s">
        <v>1152</v>
      </c>
      <c r="B363" s="12" t="str">
        <f>VLOOKUP(A363,'US Employee Payroll Cleaned'!G:N,2,FALSE)</f>
        <v xml:space="preserve"> BRUTUS, OTTO P</v>
      </c>
      <c r="C363" s="61">
        <f>INDEX('US Employee Payroll Cleaned'!A:A,MATCH('Lookup Sheet'!A363,'US Employee Payroll Cleaned'!G:G,0))</f>
        <v>-1574.39</v>
      </c>
      <c r="D363" s="56" t="str">
        <f>_xlfn.XLOOKUP(A363,'US Employee Payroll Cleaned'!G:G,'US Employee Payroll Cleaned'!H:H,"Not found")</f>
        <v xml:space="preserve"> BRUTUS, OTTO P</v>
      </c>
    </row>
    <row r="364" spans="1:4" x14ac:dyDescent="0.25">
      <c r="A364" s="21" t="s">
        <v>34</v>
      </c>
      <c r="B364" s="12" t="str">
        <f>VLOOKUP(A364,'US Employee Payroll Cleaned'!G:N,2,FALSE)</f>
        <v xml:space="preserve"> GRAYER, SHELIA D</v>
      </c>
      <c r="C364" s="61">
        <f>INDEX('US Employee Payroll Cleaned'!A:A,MATCH('Lookup Sheet'!A364,'US Employee Payroll Cleaned'!G:G,0))</f>
        <v>3902.5</v>
      </c>
      <c r="D364" s="56" t="str">
        <f>_xlfn.XLOOKUP(A364,'US Employee Payroll Cleaned'!G:G,'US Employee Payroll Cleaned'!H:H,"Not found")</f>
        <v xml:space="preserve"> GRAYER, SHELIA D</v>
      </c>
    </row>
    <row r="365" spans="1:4" x14ac:dyDescent="0.25">
      <c r="A365" s="21" t="s">
        <v>472</v>
      </c>
      <c r="B365" s="12" t="str">
        <f>VLOOKUP(A365,'US Employee Payroll Cleaned'!G:N,2,FALSE)</f>
        <v xml:space="preserve"> ELIAS, LYNETTE M</v>
      </c>
      <c r="C365" s="61">
        <f>INDEX('US Employee Payroll Cleaned'!A:A,MATCH('Lookup Sheet'!A365,'US Employee Payroll Cleaned'!G:G,0))</f>
        <v>4976.5</v>
      </c>
      <c r="D365" s="56" t="str">
        <f>_xlfn.XLOOKUP(A365,'US Employee Payroll Cleaned'!G:G,'US Employee Payroll Cleaned'!H:H,"Not found")</f>
        <v xml:space="preserve"> ELIAS, LYNETTE M</v>
      </c>
    </row>
    <row r="366" spans="1:4" x14ac:dyDescent="0.25">
      <c r="A366" s="21" t="s">
        <v>335</v>
      </c>
      <c r="B366" s="12" t="str">
        <f>VLOOKUP(A366,'US Employee Payroll Cleaned'!G:N,2,FALSE)</f>
        <v xml:space="preserve"> RODRIGUEZ, VELIA C</v>
      </c>
      <c r="C366" s="61">
        <f>INDEX('US Employee Payroll Cleaned'!A:A,MATCH('Lookup Sheet'!A366,'US Employee Payroll Cleaned'!G:G,0))</f>
        <v>2828</v>
      </c>
      <c r="D366" s="56" t="str">
        <f>_xlfn.XLOOKUP(A366,'US Employee Payroll Cleaned'!G:G,'US Employee Payroll Cleaned'!H:H,"Not found")</f>
        <v xml:space="preserve"> RODRIGUEZ, VELIA C</v>
      </c>
    </row>
    <row r="367" spans="1:4" x14ac:dyDescent="0.25">
      <c r="A367" s="21" t="s">
        <v>436</v>
      </c>
      <c r="B367" s="12" t="str">
        <f>VLOOKUP(A367,'US Employee Payroll Cleaned'!G:N,2,FALSE)</f>
        <v xml:space="preserve"> MASON JOHNSON, CHRISTINA</v>
      </c>
      <c r="C367" s="61">
        <f>INDEX('US Employee Payroll Cleaned'!A:A,MATCH('Lookup Sheet'!A367,'US Employee Payroll Cleaned'!G:G,0))</f>
        <v>3166.5</v>
      </c>
      <c r="D367" s="56" t="str">
        <f>_xlfn.XLOOKUP(A367,'US Employee Payroll Cleaned'!G:G,'US Employee Payroll Cleaned'!H:H,"Not found")</f>
        <v xml:space="preserve"> MASON JOHNSON, CHRISTINA</v>
      </c>
    </row>
    <row r="368" spans="1:4" x14ac:dyDescent="0.25">
      <c r="A368" s="21" t="s">
        <v>117</v>
      </c>
      <c r="B368" s="12" t="str">
        <f>VLOOKUP(A368,'US Employee Payroll Cleaned'!G:N,2,FALSE)</f>
        <v xml:space="preserve"> OCIEPKA, LESZEK</v>
      </c>
      <c r="C368" s="61">
        <f>INDEX('US Employee Payroll Cleaned'!A:A,MATCH('Lookup Sheet'!A368,'US Employee Payroll Cleaned'!G:G,0))</f>
        <v>4271.5</v>
      </c>
      <c r="D368" s="56" t="str">
        <f>_xlfn.XLOOKUP(A368,'US Employee Payroll Cleaned'!G:G,'US Employee Payroll Cleaned'!H:H,"Not found")</f>
        <v xml:space="preserve"> OCIEPKA, LESZEK</v>
      </c>
    </row>
    <row r="369" spans="1:4" x14ac:dyDescent="0.25">
      <c r="A369" s="21" t="s">
        <v>1134</v>
      </c>
      <c r="B369" s="12" t="str">
        <f>VLOOKUP(A369,'US Employee Payroll Cleaned'!G:N,2,FALSE)</f>
        <v xml:space="preserve"> PIERRE, LUDNA S</v>
      </c>
      <c r="C369" s="61">
        <f>INDEX('US Employee Payroll Cleaned'!A:A,MATCH('Lookup Sheet'!A369,'US Employee Payroll Cleaned'!G:G,0))</f>
        <v>519.75</v>
      </c>
      <c r="D369" s="56" t="str">
        <f>_xlfn.XLOOKUP(A369,'US Employee Payroll Cleaned'!G:G,'US Employee Payroll Cleaned'!H:H,"Not found")</f>
        <v xml:space="preserve"> PIERRE, LUDNA S</v>
      </c>
    </row>
    <row r="370" spans="1:4" x14ac:dyDescent="0.25">
      <c r="A370" s="21" t="s">
        <v>34</v>
      </c>
      <c r="B370" s="12" t="str">
        <f>VLOOKUP(A370,'US Employee Payroll Cleaned'!G:N,2,FALSE)</f>
        <v xml:space="preserve"> GRAYER, SHELIA D</v>
      </c>
      <c r="C370" s="61">
        <f>INDEX('US Employee Payroll Cleaned'!A:A,MATCH('Lookup Sheet'!A370,'US Employee Payroll Cleaned'!G:G,0))</f>
        <v>3902.5</v>
      </c>
      <c r="D370" s="56" t="str">
        <f>_xlfn.XLOOKUP(A370,'US Employee Payroll Cleaned'!G:G,'US Employee Payroll Cleaned'!H:H,"Not found")</f>
        <v xml:space="preserve"> GRAYER, SHELIA D</v>
      </c>
    </row>
    <row r="371" spans="1:4" x14ac:dyDescent="0.25">
      <c r="A371" s="21" t="s">
        <v>330</v>
      </c>
      <c r="B371" s="12" t="str">
        <f>VLOOKUP(A371,'US Employee Payroll Cleaned'!G:N,2,FALSE)</f>
        <v xml:space="preserve"> RADZEVICH, NANCY M</v>
      </c>
      <c r="C371" s="61">
        <f>INDEX('US Employee Payroll Cleaned'!A:A,MATCH('Lookup Sheet'!A371,'US Employee Payroll Cleaned'!G:G,0))</f>
        <v>4579.5</v>
      </c>
      <c r="D371" s="56" t="str">
        <f>_xlfn.XLOOKUP(A371,'US Employee Payroll Cleaned'!G:G,'US Employee Payroll Cleaned'!H:H,"Not found")</f>
        <v xml:space="preserve"> RADZEVICH, NANCY M</v>
      </c>
    </row>
    <row r="372" spans="1:4" x14ac:dyDescent="0.25">
      <c r="A372" s="21" t="s">
        <v>568</v>
      </c>
      <c r="B372" s="12" t="str">
        <f>VLOOKUP(A372,'US Employee Payroll Cleaned'!G:N,2,FALSE)</f>
        <v xml:space="preserve"> DUPLAGA, ALICIA</v>
      </c>
      <c r="C372" s="61">
        <f>INDEX('US Employee Payroll Cleaned'!A:A,MATCH('Lookup Sheet'!A372,'US Employee Payroll Cleaned'!G:G,0))</f>
        <v>3902.5</v>
      </c>
      <c r="D372" s="56" t="str">
        <f>_xlfn.XLOOKUP(A372,'US Employee Payroll Cleaned'!G:G,'US Employee Payroll Cleaned'!H:H,"Not found")</f>
        <v xml:space="preserve"> DUPLAGA, ALICIA</v>
      </c>
    </row>
    <row r="373" spans="1:4" x14ac:dyDescent="0.25">
      <c r="A373" s="21" t="s">
        <v>493</v>
      </c>
      <c r="B373" s="12" t="str">
        <f>VLOOKUP(A373,'US Employee Payroll Cleaned'!G:N,2,FALSE)</f>
        <v xml:space="preserve"> SMAILBEGOVIC, OMAR</v>
      </c>
      <c r="C373" s="61">
        <f>INDEX('US Employee Payroll Cleaned'!A:A,MATCH('Lookup Sheet'!A373,'US Employee Payroll Cleaned'!G:G,0))</f>
        <v>3160.5</v>
      </c>
      <c r="D373" s="56" t="str">
        <f>_xlfn.XLOOKUP(A373,'US Employee Payroll Cleaned'!G:G,'US Employee Payroll Cleaned'!H:H,"Not found")</f>
        <v xml:space="preserve"> SMAILBEGOVIC, OMAR</v>
      </c>
    </row>
    <row r="374" spans="1:4" x14ac:dyDescent="0.25">
      <c r="A374" s="21" t="s">
        <v>350</v>
      </c>
      <c r="B374" s="12" t="str">
        <f>VLOOKUP(A374,'US Employee Payroll Cleaned'!G:N,2,FALSE)</f>
        <v xml:space="preserve"> MARTINEZ, SAMIE</v>
      </c>
      <c r="C374" s="61">
        <f>INDEX('US Employee Payroll Cleaned'!A:A,MATCH('Lookup Sheet'!A374,'US Employee Payroll Cleaned'!G:G,0))</f>
        <v>3166.5</v>
      </c>
      <c r="D374" s="56" t="str">
        <f>_xlfn.XLOOKUP(A374,'US Employee Payroll Cleaned'!G:G,'US Employee Payroll Cleaned'!H:H,"Not found")</f>
        <v xml:space="preserve"> MARTINEZ, SAMIE</v>
      </c>
    </row>
    <row r="375" spans="1:4" x14ac:dyDescent="0.25">
      <c r="A375" s="21" t="s">
        <v>358</v>
      </c>
      <c r="B375" s="12" t="str">
        <f>VLOOKUP(A375,'US Employee Payroll Cleaned'!G:N,2,FALSE)</f>
        <v xml:space="preserve"> ORTEGA, VICTORIA L</v>
      </c>
      <c r="C375" s="61">
        <f>INDEX('US Employee Payroll Cleaned'!A:A,MATCH('Lookup Sheet'!A375,'US Employee Payroll Cleaned'!G:G,0))</f>
        <v>4330</v>
      </c>
      <c r="D375" s="56" t="str">
        <f>_xlfn.XLOOKUP(A375,'US Employee Payroll Cleaned'!G:G,'US Employee Payroll Cleaned'!H:H,"Not found")</f>
        <v xml:space="preserve"> ORTEGA, VICTORIA L</v>
      </c>
    </row>
    <row r="376" spans="1:4" x14ac:dyDescent="0.25">
      <c r="A376" s="21" t="s">
        <v>1170</v>
      </c>
      <c r="B376" s="12" t="str">
        <f>VLOOKUP(A376,'US Employee Payroll Cleaned'!G:N,2,FALSE)</f>
        <v xml:space="preserve"> LOERA JR, ELISEO</v>
      </c>
      <c r="C376" s="61">
        <f>INDEX('US Employee Payroll Cleaned'!A:A,MATCH('Lookup Sheet'!A376,'US Employee Payroll Cleaned'!G:G,0))</f>
        <v>3467</v>
      </c>
      <c r="D376" s="56" t="str">
        <f>_xlfn.XLOOKUP(A376,'US Employee Payroll Cleaned'!G:G,'US Employee Payroll Cleaned'!H:H,"Not found")</f>
        <v xml:space="preserve"> LOERA JR, ELISEO</v>
      </c>
    </row>
    <row r="377" spans="1:4" x14ac:dyDescent="0.25">
      <c r="A377" s="21" t="s">
        <v>622</v>
      </c>
      <c r="B377" s="12" t="str">
        <f>VLOOKUP(A377,'US Employee Payroll Cleaned'!G:N,2,FALSE)</f>
        <v xml:space="preserve"> ESENBERG, BRYAN</v>
      </c>
      <c r="C377" s="61">
        <f>INDEX('US Employee Payroll Cleaned'!A:A,MATCH('Lookup Sheet'!A377,'US Employee Payroll Cleaned'!G:G,0))</f>
        <v>6502.5</v>
      </c>
      <c r="D377" s="56" t="str">
        <f>_xlfn.XLOOKUP(A377,'US Employee Payroll Cleaned'!G:G,'US Employee Payroll Cleaned'!H:H,"Not found")</f>
        <v xml:space="preserve"> ESENBERG, BRYAN</v>
      </c>
    </row>
    <row r="378" spans="1:4" x14ac:dyDescent="0.25">
      <c r="A378" s="21" t="s">
        <v>534</v>
      </c>
      <c r="B378" s="12" t="str">
        <f>VLOOKUP(A378,'US Employee Payroll Cleaned'!G:N,2,FALSE)</f>
        <v xml:space="preserve"> LUCIO, CRISTINA</v>
      </c>
      <c r="C378" s="61">
        <f>INDEX('US Employee Payroll Cleaned'!A:A,MATCH('Lookup Sheet'!A378,'US Employee Payroll Cleaned'!G:G,0))</f>
        <v>596.75</v>
      </c>
      <c r="D378" s="56" t="str">
        <f>_xlfn.XLOOKUP(A378,'US Employee Payroll Cleaned'!G:G,'US Employee Payroll Cleaned'!H:H,"Not found")</f>
        <v xml:space="preserve"> LUCIO, CRISTINA</v>
      </c>
    </row>
    <row r="379" spans="1:4" x14ac:dyDescent="0.25">
      <c r="A379" s="21" t="s">
        <v>146</v>
      </c>
      <c r="B379" s="12" t="str">
        <f>VLOOKUP(A379,'US Employee Payroll Cleaned'!G:N,2,FALSE)</f>
        <v xml:space="preserve"> CANNON, ANGELA</v>
      </c>
      <c r="C379" s="61">
        <f>INDEX('US Employee Payroll Cleaned'!A:A,MATCH('Lookup Sheet'!A379,'US Employee Payroll Cleaned'!G:G,0))</f>
        <v>4134.5</v>
      </c>
      <c r="D379" s="56" t="str">
        <f>_xlfn.XLOOKUP(A379,'US Employee Payroll Cleaned'!G:G,'US Employee Payroll Cleaned'!H:H,"Not found")</f>
        <v xml:space="preserve"> CANNON, ANGELA</v>
      </c>
    </row>
    <row r="380" spans="1:4" x14ac:dyDescent="0.25">
      <c r="A380" s="21" t="s">
        <v>633</v>
      </c>
      <c r="B380" s="12" t="str">
        <f>VLOOKUP(A380,'US Employee Payroll Cleaned'!G:N,2,FALSE)</f>
        <v xml:space="preserve"> LYON, MAXIMILIAN D</v>
      </c>
      <c r="C380" s="61">
        <f>INDEX('US Employee Payroll Cleaned'!A:A,MATCH('Lookup Sheet'!A380,'US Employee Payroll Cleaned'!G:G,0))</f>
        <v>3250</v>
      </c>
      <c r="D380" s="56" t="str">
        <f>_xlfn.XLOOKUP(A380,'US Employee Payroll Cleaned'!G:G,'US Employee Payroll Cleaned'!H:H,"Not found")</f>
        <v xml:space="preserve"> LYON, MAXIMILIAN D</v>
      </c>
    </row>
    <row r="381" spans="1:4" x14ac:dyDescent="0.25">
      <c r="A381" s="21" t="s">
        <v>497</v>
      </c>
      <c r="B381" s="12" t="str">
        <f>VLOOKUP(A381,'US Employee Payroll Cleaned'!G:N,2,FALSE)</f>
        <v xml:space="preserve"> GARZA, CYNTHIA A</v>
      </c>
      <c r="C381" s="61">
        <f>INDEX('US Employee Payroll Cleaned'!A:A,MATCH('Lookup Sheet'!A381,'US Employee Payroll Cleaned'!G:G,0))</f>
        <v>4487.5</v>
      </c>
      <c r="D381" s="56" t="str">
        <f>_xlfn.XLOOKUP(A381,'US Employee Payroll Cleaned'!G:G,'US Employee Payroll Cleaned'!H:H,"Not found")</f>
        <v xml:space="preserve"> GARZA, CYNTHIA A</v>
      </c>
    </row>
    <row r="382" spans="1:4" x14ac:dyDescent="0.25">
      <c r="A382" s="21" t="s">
        <v>1180</v>
      </c>
      <c r="B382" s="12" t="str">
        <f>VLOOKUP(A382,'US Employee Payroll Cleaned'!G:N,2,FALSE)</f>
        <v xml:space="preserve"> FORTE, KAREN J</v>
      </c>
      <c r="C382" s="61">
        <f>INDEX('US Employee Payroll Cleaned'!A:A,MATCH('Lookup Sheet'!A382,'US Employee Payroll Cleaned'!G:G,0))</f>
        <v>3366.7</v>
      </c>
      <c r="D382" s="56" t="str">
        <f>_xlfn.XLOOKUP(A382,'US Employee Payroll Cleaned'!G:G,'US Employee Payroll Cleaned'!H:H,"Not found")</f>
        <v xml:space="preserve"> FORTE, KAREN J</v>
      </c>
    </row>
    <row r="383" spans="1:4" x14ac:dyDescent="0.25">
      <c r="A383" s="21" t="s">
        <v>99</v>
      </c>
      <c r="B383" s="12" t="str">
        <f>VLOOKUP(A383,'US Employee Payroll Cleaned'!G:N,2,FALSE)</f>
        <v xml:space="preserve"> HERTZ, DANIEL K</v>
      </c>
      <c r="C383" s="61">
        <f>INDEX('US Employee Payroll Cleaned'!A:A,MATCH('Lookup Sheet'!A383,'US Employee Payroll Cleaned'!G:G,0))</f>
        <v>4766</v>
      </c>
      <c r="D383" s="56" t="str">
        <f>_xlfn.XLOOKUP(A383,'US Employee Payroll Cleaned'!G:G,'US Employee Payroll Cleaned'!H:H,"Not found")</f>
        <v xml:space="preserve"> HERTZ, DANIEL K</v>
      </c>
    </row>
    <row r="384" spans="1:4" x14ac:dyDescent="0.25">
      <c r="A384" s="21" t="s">
        <v>510</v>
      </c>
      <c r="B384" s="12" t="str">
        <f>VLOOKUP(A384,'US Employee Payroll Cleaned'!G:N,2,FALSE)</f>
        <v xml:space="preserve"> SCHNEIDER, JOHN A</v>
      </c>
      <c r="C384" s="61">
        <f>INDEX('US Employee Payroll Cleaned'!A:A,MATCH('Lookup Sheet'!A384,'US Employee Payroll Cleaned'!G:G,0))</f>
        <v>3768.5</v>
      </c>
      <c r="D384" s="56" t="str">
        <f>_xlfn.XLOOKUP(A384,'US Employee Payroll Cleaned'!G:G,'US Employee Payroll Cleaned'!H:H,"Not found")</f>
        <v xml:space="preserve"> SCHNEIDER, JOHN A</v>
      </c>
    </row>
    <row r="385" spans="1:4" x14ac:dyDescent="0.25">
      <c r="A385" s="21" t="s">
        <v>287</v>
      </c>
      <c r="B385" s="12" t="str">
        <f>VLOOKUP(A385,'US Employee Payroll Cleaned'!G:N,2,FALSE)</f>
        <v xml:space="preserve"> PATE, ONEIDA R</v>
      </c>
      <c r="C385" s="61">
        <f>INDEX('US Employee Payroll Cleaned'!A:A,MATCH('Lookup Sheet'!A385,'US Employee Payroll Cleaned'!G:G,0))</f>
        <v>4274</v>
      </c>
      <c r="D385" s="56" t="str">
        <f>_xlfn.XLOOKUP(A385,'US Employee Payroll Cleaned'!G:G,'US Employee Payroll Cleaned'!H:H,"Not found")</f>
        <v xml:space="preserve"> PATE, ONEIDA R</v>
      </c>
    </row>
    <row r="386" spans="1:4" x14ac:dyDescent="0.25">
      <c r="A386" s="21" t="s">
        <v>432</v>
      </c>
      <c r="B386" s="12" t="str">
        <f>VLOOKUP(A386,'US Employee Payroll Cleaned'!G:N,2,FALSE)</f>
        <v xml:space="preserve"> RHYMES, MICHELE A</v>
      </c>
      <c r="C386" s="61">
        <f>INDEX('US Employee Payroll Cleaned'!A:A,MATCH('Lookup Sheet'!A386,'US Employee Payroll Cleaned'!G:G,0))</f>
        <v>4274</v>
      </c>
      <c r="D386" s="56" t="str">
        <f>_xlfn.XLOOKUP(A386,'US Employee Payroll Cleaned'!G:G,'US Employee Payroll Cleaned'!H:H,"Not found")</f>
        <v xml:space="preserve"> RHYMES, MICHELE A</v>
      </c>
    </row>
    <row r="387" spans="1:4" x14ac:dyDescent="0.25">
      <c r="A387" s="21" t="s">
        <v>524</v>
      </c>
      <c r="B387" s="12" t="str">
        <f>VLOOKUP(A387,'US Employee Payroll Cleaned'!G:N,2,FALSE)</f>
        <v xml:space="preserve"> CHASE, JESSIE L</v>
      </c>
      <c r="C387" s="61">
        <f>INDEX('US Employee Payroll Cleaned'!A:A,MATCH('Lookup Sheet'!A387,'US Employee Payroll Cleaned'!G:G,0))</f>
        <v>3768.5</v>
      </c>
      <c r="D387" s="56" t="str">
        <f>_xlfn.XLOOKUP(A387,'US Employee Payroll Cleaned'!G:G,'US Employee Payroll Cleaned'!H:H,"Not found")</f>
        <v xml:space="preserve"> CHASE, JESSIE L</v>
      </c>
    </row>
    <row r="388" spans="1:4" x14ac:dyDescent="0.25">
      <c r="A388" s="21" t="s">
        <v>1190</v>
      </c>
      <c r="B388" s="12" t="str">
        <f>VLOOKUP(A388,'US Employee Payroll Cleaned'!G:N,2,FALSE)</f>
        <v xml:space="preserve"> HAHN, KANDALYN</v>
      </c>
      <c r="C388" s="61">
        <f>INDEX('US Employee Payroll Cleaned'!A:A,MATCH('Lookup Sheet'!A388,'US Employee Payroll Cleaned'!G:G,0))</f>
        <v>3768.5</v>
      </c>
      <c r="D388" s="56" t="str">
        <f>_xlfn.XLOOKUP(A388,'US Employee Payroll Cleaned'!G:G,'US Employee Payroll Cleaned'!H:H,"Not found")</f>
        <v xml:space="preserve"> HAHN, KANDALYN</v>
      </c>
    </row>
    <row r="389" spans="1:4" x14ac:dyDescent="0.25">
      <c r="A389" s="21" t="s">
        <v>358</v>
      </c>
      <c r="B389" s="12" t="str">
        <f>VLOOKUP(A389,'US Employee Payroll Cleaned'!G:N,2,FALSE)</f>
        <v xml:space="preserve"> ORTEGA, VICTORIA L</v>
      </c>
      <c r="C389" s="61">
        <f>INDEX('US Employee Payroll Cleaned'!A:A,MATCH('Lookup Sheet'!A389,'US Employee Payroll Cleaned'!G:G,0))</f>
        <v>4330</v>
      </c>
      <c r="D389" s="56" t="str">
        <f>_xlfn.XLOOKUP(A389,'US Employee Payroll Cleaned'!G:G,'US Employee Payroll Cleaned'!H:H,"Not found")</f>
        <v xml:space="preserve"> ORTEGA, VICTORIA L</v>
      </c>
    </row>
    <row r="390" spans="1:4" x14ac:dyDescent="0.25">
      <c r="A390" s="21" t="s">
        <v>224</v>
      </c>
      <c r="B390" s="12" t="str">
        <f>VLOOKUP(A390,'US Employee Payroll Cleaned'!G:N,2,FALSE)</f>
        <v xml:space="preserve"> JOHNSON, AARON M</v>
      </c>
      <c r="C390" s="61">
        <f>INDEX('US Employee Payroll Cleaned'!A:A,MATCH('Lookup Sheet'!A390,'US Employee Payroll Cleaned'!G:G,0))</f>
        <v>4064.5</v>
      </c>
      <c r="D390" s="56" t="str">
        <f>_xlfn.XLOOKUP(A390,'US Employee Payroll Cleaned'!G:G,'US Employee Payroll Cleaned'!H:H,"Not found")</f>
        <v xml:space="preserve"> JOHNSON, AARON M</v>
      </c>
    </row>
    <row r="391" spans="1:4" x14ac:dyDescent="0.25">
      <c r="A391" s="21" t="s">
        <v>489</v>
      </c>
      <c r="B391" s="12" t="str">
        <f>VLOOKUP(A391,'US Employee Payroll Cleaned'!G:N,2,FALSE)</f>
        <v xml:space="preserve"> O'DONNELL, BRIAN</v>
      </c>
      <c r="C391" s="61">
        <f>INDEX('US Employee Payroll Cleaned'!A:A,MATCH('Lookup Sheet'!A391,'US Employee Payroll Cleaned'!G:G,0))</f>
        <v>4232.5</v>
      </c>
      <c r="D391" s="56" t="str">
        <f>_xlfn.XLOOKUP(A391,'US Employee Payroll Cleaned'!G:G,'US Employee Payroll Cleaned'!H:H,"Not found")</f>
        <v xml:space="preserve"> O'DONNELL, BRIAN</v>
      </c>
    </row>
    <row r="392" spans="1:4" x14ac:dyDescent="0.25">
      <c r="A392" s="21" t="s">
        <v>513</v>
      </c>
      <c r="B392" s="12" t="str">
        <f>VLOOKUP(A392,'US Employee Payroll Cleaned'!G:N,2,FALSE)</f>
        <v xml:space="preserve"> ROSCHEN, MARK E</v>
      </c>
      <c r="C392" s="61">
        <f>INDEX('US Employee Payroll Cleaned'!A:A,MATCH('Lookup Sheet'!A392,'US Employee Payroll Cleaned'!G:G,0))</f>
        <v>4534</v>
      </c>
      <c r="D392" s="56" t="str">
        <f>_xlfn.XLOOKUP(A392,'US Employee Payroll Cleaned'!G:G,'US Employee Payroll Cleaned'!H:H,"Not found")</f>
        <v xml:space="preserve"> ROSCHEN, MARK E</v>
      </c>
    </row>
    <row r="393" spans="1:4" x14ac:dyDescent="0.25">
      <c r="A393" s="21" t="s">
        <v>304</v>
      </c>
      <c r="B393" s="12" t="str">
        <f>VLOOKUP(A393,'US Employee Payroll Cleaned'!G:N,2,FALSE)</f>
        <v xml:space="preserve"> RESA, VICTOR T</v>
      </c>
      <c r="C393" s="61">
        <f>INDEX('US Employee Payroll Cleaned'!A:A,MATCH('Lookup Sheet'!A393,'US Employee Payroll Cleaned'!G:G,0))</f>
        <v>4536</v>
      </c>
      <c r="D393" s="56" t="str">
        <f>_xlfn.XLOOKUP(A393,'US Employee Payroll Cleaned'!G:G,'US Employee Payroll Cleaned'!H:H,"Not found")</f>
        <v xml:space="preserve"> RESA, VICTOR T</v>
      </c>
    </row>
    <row r="394" spans="1:4" x14ac:dyDescent="0.25">
      <c r="A394" s="21" t="s">
        <v>1200</v>
      </c>
      <c r="B394" s="12" t="str">
        <f>VLOOKUP(A394,'US Employee Payroll Cleaned'!G:N,2,FALSE)</f>
        <v xml:space="preserve"> PERRY, SUSAN E</v>
      </c>
      <c r="C394" s="61">
        <f>INDEX('US Employee Payroll Cleaned'!A:A,MATCH('Lookup Sheet'!A394,'US Employee Payroll Cleaned'!G:G,0))</f>
        <v>3754.5</v>
      </c>
      <c r="D394" s="56" t="str">
        <f>_xlfn.XLOOKUP(A394,'US Employee Payroll Cleaned'!G:G,'US Employee Payroll Cleaned'!H:H,"Not found")</f>
        <v xml:space="preserve"> PERRY, SUSAN E</v>
      </c>
    </row>
    <row r="395" spans="1:4" x14ac:dyDescent="0.25">
      <c r="A395" s="21" t="s">
        <v>213</v>
      </c>
      <c r="B395" s="12" t="str">
        <f>VLOOKUP(A395,'US Employee Payroll Cleaned'!G:N,2,FALSE)</f>
        <v xml:space="preserve"> HOLLAND, WILLIAM R</v>
      </c>
      <c r="C395" s="61">
        <f>INDEX('US Employee Payroll Cleaned'!A:A,MATCH('Lookup Sheet'!A395,'US Employee Payroll Cleaned'!G:G,0))</f>
        <v>3250</v>
      </c>
      <c r="D395" s="56" t="str">
        <f>_xlfn.XLOOKUP(A395,'US Employee Payroll Cleaned'!G:G,'US Employee Payroll Cleaned'!H:H,"Not found")</f>
        <v xml:space="preserve"> HOLLAND, WILLIAM R</v>
      </c>
    </row>
    <row r="396" spans="1:4" x14ac:dyDescent="0.25">
      <c r="A396" s="21" t="s">
        <v>1170</v>
      </c>
      <c r="B396" s="12" t="str">
        <f>VLOOKUP(A396,'US Employee Payroll Cleaned'!G:N,2,FALSE)</f>
        <v xml:space="preserve"> LOERA JR, ELISEO</v>
      </c>
      <c r="C396" s="61">
        <f>INDEX('US Employee Payroll Cleaned'!A:A,MATCH('Lookup Sheet'!A396,'US Employee Payroll Cleaned'!G:G,0))</f>
        <v>3467</v>
      </c>
      <c r="D396" s="56" t="str">
        <f>_xlfn.XLOOKUP(A396,'US Employee Payroll Cleaned'!G:G,'US Employee Payroll Cleaned'!H:H,"Not found")</f>
        <v xml:space="preserve"> LOERA JR, ELISEO</v>
      </c>
    </row>
    <row r="397" spans="1:4" x14ac:dyDescent="0.25">
      <c r="A397" s="21" t="s">
        <v>24</v>
      </c>
      <c r="B397" s="12" t="str">
        <f>VLOOKUP(A397,'US Employee Payroll Cleaned'!G:N,2,FALSE)</f>
        <v xml:space="preserve"> TACCAD, CLARIBEL</v>
      </c>
      <c r="C397" s="61">
        <f>INDEX('US Employee Payroll Cleaned'!A:A,MATCH('Lookup Sheet'!A397,'US Employee Payroll Cleaned'!G:G,0))</f>
        <v>3556</v>
      </c>
      <c r="D397" s="56" t="str">
        <f>_xlfn.XLOOKUP(A397,'US Employee Payroll Cleaned'!G:G,'US Employee Payroll Cleaned'!H:H,"Not found")</f>
        <v xml:space="preserve"> TACCAD, CLARIBEL</v>
      </c>
    </row>
    <row r="398" spans="1:4" x14ac:dyDescent="0.25">
      <c r="A398" s="21" t="s">
        <v>1209</v>
      </c>
      <c r="B398" s="12" t="str">
        <f>VLOOKUP(A398,'US Employee Payroll Cleaned'!G:N,2,FALSE)</f>
        <v xml:space="preserve"> KIRBY, JOANN B</v>
      </c>
      <c r="C398" s="61">
        <f>INDEX('US Employee Payroll Cleaned'!A:A,MATCH('Lookup Sheet'!A398,'US Employee Payroll Cleaned'!G:G,0))</f>
        <v>4672</v>
      </c>
      <c r="D398" s="56" t="str">
        <f>_xlfn.XLOOKUP(A398,'US Employee Payroll Cleaned'!G:G,'US Employee Payroll Cleaned'!H:H,"Not found")</f>
        <v xml:space="preserve"> KIRBY, JOANN B</v>
      </c>
    </row>
    <row r="399" spans="1:4" x14ac:dyDescent="0.25">
      <c r="A399" s="21" t="s">
        <v>76</v>
      </c>
      <c r="B399" s="12" t="str">
        <f>VLOOKUP(A399,'US Employee Payroll Cleaned'!G:N,2,FALSE)</f>
        <v xml:space="preserve"> NOLTER, ROBERT J</v>
      </c>
      <c r="C399" s="61">
        <f>INDEX('US Employee Payroll Cleaned'!A:A,MATCH('Lookup Sheet'!A399,'US Employee Payroll Cleaned'!G:G,0))</f>
        <v>2542.5</v>
      </c>
      <c r="D399" s="56" t="str">
        <f>_xlfn.XLOOKUP(A399,'US Employee Payroll Cleaned'!G:G,'US Employee Payroll Cleaned'!H:H,"Not found")</f>
        <v xml:space="preserve"> NOLTER, ROBERT J</v>
      </c>
    </row>
    <row r="400" spans="1:4" x14ac:dyDescent="0.25">
      <c r="A400" s="21" t="s">
        <v>236</v>
      </c>
      <c r="B400" s="12" t="str">
        <f>VLOOKUP(A400,'US Employee Payroll Cleaned'!G:N,2,FALSE)</f>
        <v xml:space="preserve"> RICE, CARL M</v>
      </c>
      <c r="C400" s="61">
        <f>INDEX('US Employee Payroll Cleaned'!A:A,MATCH('Lookup Sheet'!A400,'US Employee Payroll Cleaned'!G:G,0))</f>
        <v>2791</v>
      </c>
      <c r="D400" s="56" t="str">
        <f>_xlfn.XLOOKUP(A400,'US Employee Payroll Cleaned'!G:G,'US Employee Payroll Cleaned'!H:H,"Not found")</f>
        <v xml:space="preserve"> RICE, CARL M</v>
      </c>
    </row>
    <row r="401" spans="1:4" x14ac:dyDescent="0.25">
      <c r="A401" s="21" t="s">
        <v>590</v>
      </c>
      <c r="B401" s="12" t="str">
        <f>VLOOKUP(A401,'US Employee Payroll Cleaned'!G:N,2,FALSE)</f>
        <v xml:space="preserve"> NAPOLES, LISA G</v>
      </c>
      <c r="C401" s="61">
        <f>INDEX('US Employee Payroll Cleaned'!A:A,MATCH('Lookup Sheet'!A401,'US Employee Payroll Cleaned'!G:G,0))</f>
        <v>2783.5</v>
      </c>
      <c r="D401" s="56" t="str">
        <f>_xlfn.XLOOKUP(A401,'US Employee Payroll Cleaned'!G:G,'US Employee Payroll Cleaned'!H:H,"Not found")</f>
        <v xml:space="preserve"> NAPOLES, LISA G</v>
      </c>
    </row>
    <row r="402" spans="1:4" x14ac:dyDescent="0.25">
      <c r="A402" s="21" t="s">
        <v>254</v>
      </c>
      <c r="B402" s="12" t="str">
        <f>VLOOKUP(A402,'US Employee Payroll Cleaned'!G:N,2,FALSE)</f>
        <v xml:space="preserve"> MURPHEY, THOMAS P</v>
      </c>
      <c r="C402" s="61">
        <f>INDEX('US Employee Payroll Cleaned'!A:A,MATCH('Lookup Sheet'!A402,'US Employee Payroll Cleaned'!G:G,0))</f>
        <v>5816.5</v>
      </c>
      <c r="D402" s="56" t="str">
        <f>_xlfn.XLOOKUP(A402,'US Employee Payroll Cleaned'!G:G,'US Employee Payroll Cleaned'!H:H,"Not found")</f>
        <v xml:space="preserve"> MURPHEY, THOMAS P</v>
      </c>
    </row>
    <row r="403" spans="1:4" x14ac:dyDescent="0.25">
      <c r="A403" s="21" t="s">
        <v>1221</v>
      </c>
      <c r="B403" s="12" t="str">
        <f>VLOOKUP(A403,'US Employee Payroll Cleaned'!G:N,2,FALSE)</f>
        <v xml:space="preserve"> WESLEY, MELVIN D</v>
      </c>
      <c r="C403" s="61">
        <f>INDEX('US Employee Payroll Cleaned'!A:A,MATCH('Lookup Sheet'!A403,'US Employee Payroll Cleaned'!G:G,0))</f>
        <v>-602.79999999999995</v>
      </c>
      <c r="D403" s="56" t="str">
        <f>_xlfn.XLOOKUP(A403,'US Employee Payroll Cleaned'!G:G,'US Employee Payroll Cleaned'!H:H,"Not found")</f>
        <v xml:space="preserve"> WESLEY, MELVIN D</v>
      </c>
    </row>
    <row r="404" spans="1:4" x14ac:dyDescent="0.25">
      <c r="A404" s="21" t="s">
        <v>622</v>
      </c>
      <c r="B404" s="12" t="str">
        <f>VLOOKUP(A404,'US Employee Payroll Cleaned'!G:N,2,FALSE)</f>
        <v xml:space="preserve"> ESENBERG, BRYAN</v>
      </c>
      <c r="C404" s="61">
        <f>INDEX('US Employee Payroll Cleaned'!A:A,MATCH('Lookup Sheet'!A404,'US Employee Payroll Cleaned'!G:G,0))</f>
        <v>6502.5</v>
      </c>
      <c r="D404" s="56" t="str">
        <f>_xlfn.XLOOKUP(A404,'US Employee Payroll Cleaned'!G:G,'US Employee Payroll Cleaned'!H:H,"Not found")</f>
        <v xml:space="preserve"> ESENBERG, BRYAN</v>
      </c>
    </row>
    <row r="405" spans="1:4" x14ac:dyDescent="0.25">
      <c r="A405" s="21" t="s">
        <v>24</v>
      </c>
      <c r="B405" s="12" t="str">
        <f>VLOOKUP(A405,'US Employee Payroll Cleaned'!G:N,2,FALSE)</f>
        <v xml:space="preserve"> TACCAD, CLARIBEL</v>
      </c>
      <c r="C405" s="61">
        <f>INDEX('US Employee Payroll Cleaned'!A:A,MATCH('Lookup Sheet'!A405,'US Employee Payroll Cleaned'!G:G,0))</f>
        <v>3556</v>
      </c>
      <c r="D405" s="56" t="str">
        <f>_xlfn.XLOOKUP(A405,'US Employee Payroll Cleaned'!G:G,'US Employee Payroll Cleaned'!H:H,"Not found")</f>
        <v xml:space="preserve"> TACCAD, CLARIBEL</v>
      </c>
    </row>
    <row r="406" spans="1:4" x14ac:dyDescent="0.25">
      <c r="A406" s="21" t="s">
        <v>472</v>
      </c>
      <c r="B406" s="12" t="str">
        <f>VLOOKUP(A406,'US Employee Payroll Cleaned'!G:N,2,FALSE)</f>
        <v xml:space="preserve"> ELIAS, LYNETTE M</v>
      </c>
      <c r="C406" s="61">
        <f>INDEX('US Employee Payroll Cleaned'!A:A,MATCH('Lookup Sheet'!A406,'US Employee Payroll Cleaned'!G:G,0))</f>
        <v>4976.5</v>
      </c>
      <c r="D406" s="56" t="str">
        <f>_xlfn.XLOOKUP(A406,'US Employee Payroll Cleaned'!G:G,'US Employee Payroll Cleaned'!H:H,"Not found")</f>
        <v xml:space="preserve"> ELIAS, LYNETTE M</v>
      </c>
    </row>
    <row r="407" spans="1:4" x14ac:dyDescent="0.25">
      <c r="A407" s="21" t="s">
        <v>626</v>
      </c>
      <c r="B407" s="12" t="str">
        <f>VLOOKUP(A407,'US Employee Payroll Cleaned'!G:N,2,FALSE)</f>
        <v xml:space="preserve"> MALAKPOUR, SOUSAN</v>
      </c>
      <c r="C407" s="61">
        <f>INDEX('US Employee Payroll Cleaned'!A:A,MATCH('Lookup Sheet'!A407,'US Employee Payroll Cleaned'!G:G,0))</f>
        <v>3867.5</v>
      </c>
      <c r="D407" s="56" t="str">
        <f>_xlfn.XLOOKUP(A407,'US Employee Payroll Cleaned'!G:G,'US Employee Payroll Cleaned'!H:H,"Not found")</f>
        <v xml:space="preserve"> MALAKPOUR, SOUSAN</v>
      </c>
    </row>
    <row r="408" spans="1:4" x14ac:dyDescent="0.25">
      <c r="A408" s="21" t="s">
        <v>376</v>
      </c>
      <c r="B408" s="12" t="str">
        <f>VLOOKUP(A408,'US Employee Payroll Cleaned'!G:N,2,FALSE)</f>
        <v xml:space="preserve"> HILL, JANICE D</v>
      </c>
      <c r="C408" s="61">
        <f>INDEX('US Employee Payroll Cleaned'!A:A,MATCH('Lookup Sheet'!A408,'US Employee Payroll Cleaned'!G:G,0))</f>
        <v>4280.5</v>
      </c>
      <c r="D408" s="56" t="str">
        <f>_xlfn.XLOOKUP(A408,'US Employee Payroll Cleaned'!G:G,'US Employee Payroll Cleaned'!H:H,"Not found")</f>
        <v xml:space="preserve"> HILL, JANICE D</v>
      </c>
    </row>
    <row r="409" spans="1:4" x14ac:dyDescent="0.25">
      <c r="A409" s="21" t="s">
        <v>45</v>
      </c>
      <c r="B409" s="12" t="str">
        <f>VLOOKUP(A409,'US Employee Payroll Cleaned'!G:N,2,FALSE)</f>
        <v xml:space="preserve"> THRUN, EMILY</v>
      </c>
      <c r="C409" s="61">
        <f>INDEX('US Employee Payroll Cleaned'!A:A,MATCH('Lookup Sheet'!A409,'US Employee Payroll Cleaned'!G:G,0))</f>
        <v>3711.5</v>
      </c>
      <c r="D409" s="56" t="str">
        <f>_xlfn.XLOOKUP(A409,'US Employee Payroll Cleaned'!G:G,'US Employee Payroll Cleaned'!H:H,"Not found")</f>
        <v xml:space="preserve"> THRUN, EMILY</v>
      </c>
    </row>
    <row r="410" spans="1:4" x14ac:dyDescent="0.25">
      <c r="A410" s="21" t="s">
        <v>455</v>
      </c>
      <c r="B410" s="12" t="str">
        <f>VLOOKUP(A410,'US Employee Payroll Cleaned'!G:N,2,FALSE)</f>
        <v xml:space="preserve"> MARMO, MICHAEL A</v>
      </c>
      <c r="C410" s="61">
        <f>INDEX('US Employee Payroll Cleaned'!A:A,MATCH('Lookup Sheet'!A410,'US Employee Payroll Cleaned'!G:G,0))</f>
        <v>4444.5</v>
      </c>
      <c r="D410" s="56" t="str">
        <f>_xlfn.XLOOKUP(A410,'US Employee Payroll Cleaned'!G:G,'US Employee Payroll Cleaned'!H:H,"Not found")</f>
        <v xml:space="preserve"> MARMO, MICHAEL A</v>
      </c>
    </row>
    <row r="411" spans="1:4" x14ac:dyDescent="0.25">
      <c r="A411" s="21" t="s">
        <v>497</v>
      </c>
      <c r="B411" s="12" t="str">
        <f>VLOOKUP(A411,'US Employee Payroll Cleaned'!G:N,2,FALSE)</f>
        <v xml:space="preserve"> GARZA, CYNTHIA A</v>
      </c>
      <c r="C411" s="61">
        <f>INDEX('US Employee Payroll Cleaned'!A:A,MATCH('Lookup Sheet'!A411,'US Employee Payroll Cleaned'!G:G,0))</f>
        <v>4487.5</v>
      </c>
      <c r="D411" s="56" t="str">
        <f>_xlfn.XLOOKUP(A411,'US Employee Payroll Cleaned'!G:G,'US Employee Payroll Cleaned'!H:H,"Not found")</f>
        <v xml:space="preserve"> GARZA, CYNTHIA A</v>
      </c>
    </row>
    <row r="412" spans="1:4" x14ac:dyDescent="0.25">
      <c r="A412" s="21" t="s">
        <v>1237</v>
      </c>
      <c r="B412" s="12" t="str">
        <f>VLOOKUP(A412,'US Employee Payroll Cleaned'!G:N,2,FALSE)</f>
        <v xml:space="preserve"> WILLIAMS, VIVIAN</v>
      </c>
      <c r="C412" s="61">
        <f>INDEX('US Employee Payroll Cleaned'!A:A,MATCH('Lookup Sheet'!A412,'US Employee Payroll Cleaned'!G:G,0))</f>
        <v>1834.14</v>
      </c>
      <c r="D412" s="56" t="str">
        <f>_xlfn.XLOOKUP(A412,'US Employee Payroll Cleaned'!G:G,'US Employee Payroll Cleaned'!H:H,"Not found")</f>
        <v xml:space="preserve"> WILLIAMS, VIVIAN</v>
      </c>
    </row>
    <row r="413" spans="1:4" x14ac:dyDescent="0.25">
      <c r="A413" s="21" t="s">
        <v>1221</v>
      </c>
      <c r="B413" s="12" t="str">
        <f>VLOOKUP(A413,'US Employee Payroll Cleaned'!G:N,2,FALSE)</f>
        <v xml:space="preserve"> WESLEY, MELVIN D</v>
      </c>
      <c r="C413" s="61">
        <f>INDEX('US Employee Payroll Cleaned'!A:A,MATCH('Lookup Sheet'!A413,'US Employee Payroll Cleaned'!G:G,0))</f>
        <v>-602.79999999999995</v>
      </c>
      <c r="D413" s="56" t="str">
        <f>_xlfn.XLOOKUP(A413,'US Employee Payroll Cleaned'!G:G,'US Employee Payroll Cleaned'!H:H,"Not found")</f>
        <v xml:space="preserve"> WESLEY, MELVIN D</v>
      </c>
    </row>
    <row r="414" spans="1:4" x14ac:dyDescent="0.25">
      <c r="A414" s="21" t="s">
        <v>1244</v>
      </c>
      <c r="B414" s="12" t="str">
        <f>VLOOKUP(A414,'US Employee Payroll Cleaned'!G:N,2,FALSE)</f>
        <v xml:space="preserve"> IMPARL, PAUL A</v>
      </c>
      <c r="C414" s="61">
        <f>INDEX('US Employee Payroll Cleaned'!A:A,MATCH('Lookup Sheet'!A414,'US Employee Payroll Cleaned'!G:G,0))</f>
        <v>13669.62</v>
      </c>
      <c r="D414" s="56" t="str">
        <f>_xlfn.XLOOKUP(A414,'US Employee Payroll Cleaned'!G:G,'US Employee Payroll Cleaned'!H:H,"Not found")</f>
        <v xml:space="preserve"> IMPARL, PAUL A</v>
      </c>
    </row>
    <row r="415" spans="1:4" x14ac:dyDescent="0.25">
      <c r="A415" s="21" t="s">
        <v>412</v>
      </c>
      <c r="B415" s="12" t="str">
        <f>VLOOKUP(A415,'US Employee Payroll Cleaned'!G:N,2,FALSE)</f>
        <v xml:space="preserve"> WHEATEN, KEISHA J</v>
      </c>
      <c r="C415" s="61">
        <f>INDEX('US Employee Payroll Cleaned'!A:A,MATCH('Lookup Sheet'!A415,'US Employee Payroll Cleaned'!G:G,0))</f>
        <v>3467</v>
      </c>
      <c r="D415" s="56" t="str">
        <f>_xlfn.XLOOKUP(A415,'US Employee Payroll Cleaned'!G:G,'US Employee Payroll Cleaned'!H:H,"Not found")</f>
        <v xml:space="preserve"> WHEATEN, KEISHA J</v>
      </c>
    </row>
    <row r="416" spans="1:4" x14ac:dyDescent="0.25">
      <c r="A416" s="21" t="s">
        <v>330</v>
      </c>
      <c r="B416" s="12" t="str">
        <f>VLOOKUP(A416,'US Employee Payroll Cleaned'!G:N,2,FALSE)</f>
        <v xml:space="preserve"> RADZEVICH, NANCY M</v>
      </c>
      <c r="C416" s="61">
        <f>INDEX('US Employee Payroll Cleaned'!A:A,MATCH('Lookup Sheet'!A416,'US Employee Payroll Cleaned'!G:G,0))</f>
        <v>4579.5</v>
      </c>
      <c r="D416" s="56" t="str">
        <f>_xlfn.XLOOKUP(A416,'US Employee Payroll Cleaned'!G:G,'US Employee Payroll Cleaned'!H:H,"Not found")</f>
        <v xml:space="preserve"> RADZEVICH, NANCY M</v>
      </c>
    </row>
    <row r="417" spans="1:4" x14ac:dyDescent="0.25">
      <c r="A417" s="21" t="s">
        <v>472</v>
      </c>
      <c r="B417" s="12" t="str">
        <f>VLOOKUP(A417,'US Employee Payroll Cleaned'!G:N,2,FALSE)</f>
        <v xml:space="preserve"> ELIAS, LYNETTE M</v>
      </c>
      <c r="C417" s="61">
        <f>INDEX('US Employee Payroll Cleaned'!A:A,MATCH('Lookup Sheet'!A417,'US Employee Payroll Cleaned'!G:G,0))</f>
        <v>4976.5</v>
      </c>
      <c r="D417" s="56" t="str">
        <f>_xlfn.XLOOKUP(A417,'US Employee Payroll Cleaned'!G:G,'US Employee Payroll Cleaned'!H:H,"Not found")</f>
        <v xml:space="preserve"> ELIAS, LYNETTE M</v>
      </c>
    </row>
    <row r="418" spans="1:4" x14ac:dyDescent="0.25">
      <c r="A418" s="21" t="s">
        <v>340</v>
      </c>
      <c r="B418" s="12" t="str">
        <f>VLOOKUP(A418,'US Employee Payroll Cleaned'!G:N,2,FALSE)</f>
        <v xml:space="preserve"> GAETA, JOSE O</v>
      </c>
      <c r="C418" s="61">
        <f>INDEX('US Employee Payroll Cleaned'!A:A,MATCH('Lookup Sheet'!A418,'US Employee Payroll Cleaned'!G:G,0))</f>
        <v>4541.5</v>
      </c>
      <c r="D418" s="56" t="str">
        <f>_xlfn.XLOOKUP(A418,'US Employee Payroll Cleaned'!G:G,'US Employee Payroll Cleaned'!H:H,"Not found")</f>
        <v xml:space="preserve"> GAETA, JOSE O</v>
      </c>
    </row>
    <row r="419" spans="1:4" x14ac:dyDescent="0.25">
      <c r="A419" s="21" t="s">
        <v>325</v>
      </c>
      <c r="B419" s="12" t="str">
        <f>VLOOKUP(A419,'US Employee Payroll Cleaned'!G:N,2,FALSE)</f>
        <v xml:space="preserve"> WINDMON, HEATHER E</v>
      </c>
      <c r="C419" s="61">
        <f>INDEX('US Employee Payroll Cleaned'!A:A,MATCH('Lookup Sheet'!A419,'US Employee Payroll Cleaned'!G:G,0))</f>
        <v>2206.5</v>
      </c>
      <c r="D419" s="56" t="str">
        <f>_xlfn.XLOOKUP(A419,'US Employee Payroll Cleaned'!G:G,'US Employee Payroll Cleaned'!H:H,"Not found")</f>
        <v xml:space="preserve"> WINDMON, HEATHER E</v>
      </c>
    </row>
    <row r="420" spans="1:4" x14ac:dyDescent="0.25">
      <c r="A420" s="21" t="s">
        <v>99</v>
      </c>
      <c r="B420" s="12" t="str">
        <f>VLOOKUP(A420,'US Employee Payroll Cleaned'!G:N,2,FALSE)</f>
        <v xml:space="preserve"> HERTZ, DANIEL K</v>
      </c>
      <c r="C420" s="61">
        <f>INDEX('US Employee Payroll Cleaned'!A:A,MATCH('Lookup Sheet'!A420,'US Employee Payroll Cleaned'!G:G,0))</f>
        <v>4766</v>
      </c>
      <c r="D420" s="56" t="str">
        <f>_xlfn.XLOOKUP(A420,'US Employee Payroll Cleaned'!G:G,'US Employee Payroll Cleaned'!H:H,"Not found")</f>
        <v xml:space="preserve"> HERTZ, DANIEL K</v>
      </c>
    </row>
    <row r="421" spans="1:4" x14ac:dyDescent="0.25">
      <c r="A421" s="21" t="s">
        <v>62</v>
      </c>
      <c r="B421" s="12" t="str">
        <f>VLOOKUP(A421,'US Employee Payroll Cleaned'!G:N,2,FALSE)</f>
        <v xml:space="preserve"> ALBERT, DAMIAN K</v>
      </c>
      <c r="C421" s="61">
        <f>INDEX('US Employee Payroll Cleaned'!A:A,MATCH('Lookup Sheet'!A421,'US Employee Payroll Cleaned'!G:G,0))</f>
        <v>-194.51</v>
      </c>
      <c r="D421" s="56" t="str">
        <f>_xlfn.XLOOKUP(A421,'US Employee Payroll Cleaned'!G:G,'US Employee Payroll Cleaned'!H:H,"Not found")</f>
        <v xml:space="preserve"> ALBERT, DAMIAN K</v>
      </c>
    </row>
    <row r="422" spans="1:4" x14ac:dyDescent="0.25">
      <c r="A422" s="21" t="s">
        <v>202</v>
      </c>
      <c r="B422" s="12" t="str">
        <f>VLOOKUP(A422,'US Employee Payroll Cleaned'!G:N,2,FALSE)</f>
        <v xml:space="preserve"> MORGAN, LASHONDA L</v>
      </c>
      <c r="C422" s="61">
        <f>INDEX('US Employee Payroll Cleaned'!A:A,MATCH('Lookup Sheet'!A422,'US Employee Payroll Cleaned'!G:G,0))</f>
        <v>3394.5</v>
      </c>
      <c r="D422" s="56" t="str">
        <f>_xlfn.XLOOKUP(A422,'US Employee Payroll Cleaned'!G:G,'US Employee Payroll Cleaned'!H:H,"Not found")</f>
        <v xml:space="preserve"> MORGAN, LASHONDA L</v>
      </c>
    </row>
    <row r="423" spans="1:4" x14ac:dyDescent="0.25">
      <c r="A423" s="21" t="s">
        <v>146</v>
      </c>
      <c r="B423" s="12" t="str">
        <f>VLOOKUP(A423,'US Employee Payroll Cleaned'!G:N,2,FALSE)</f>
        <v xml:space="preserve"> CANNON, ANGELA</v>
      </c>
      <c r="C423" s="61">
        <f>INDEX('US Employee Payroll Cleaned'!A:A,MATCH('Lookup Sheet'!A423,'US Employee Payroll Cleaned'!G:G,0))</f>
        <v>4134.5</v>
      </c>
      <c r="D423" s="56" t="str">
        <f>_xlfn.XLOOKUP(A423,'US Employee Payroll Cleaned'!G:G,'US Employee Payroll Cleaned'!H:H,"Not found")</f>
        <v xml:space="preserve"> CANNON, ANGELA</v>
      </c>
    </row>
    <row r="424" spans="1:4" x14ac:dyDescent="0.25">
      <c r="A424" s="21" t="s">
        <v>240</v>
      </c>
      <c r="B424" s="12" t="str">
        <f>VLOOKUP(A424,'US Employee Payroll Cleaned'!G:N,2,FALSE)</f>
        <v xml:space="preserve"> ROBLES, ANNA M</v>
      </c>
      <c r="C424" s="61">
        <f>INDEX('US Employee Payroll Cleaned'!A:A,MATCH('Lookup Sheet'!A424,'US Employee Payroll Cleaned'!G:G,0))</f>
        <v>5212</v>
      </c>
      <c r="D424" s="56" t="str">
        <f>_xlfn.XLOOKUP(A424,'US Employee Payroll Cleaned'!G:G,'US Employee Payroll Cleaned'!H:H,"Not found")</f>
        <v xml:space="preserve"> ROBLES, ANNA M</v>
      </c>
    </row>
    <row r="425" spans="1:4" x14ac:dyDescent="0.25">
      <c r="A425" s="21" t="s">
        <v>493</v>
      </c>
      <c r="B425" s="12" t="str">
        <f>VLOOKUP(A425,'US Employee Payroll Cleaned'!G:N,2,FALSE)</f>
        <v xml:space="preserve"> SMAILBEGOVIC, OMAR</v>
      </c>
      <c r="C425" s="61">
        <f>INDEX('US Employee Payroll Cleaned'!A:A,MATCH('Lookup Sheet'!A425,'US Employee Payroll Cleaned'!G:G,0))</f>
        <v>3160.5</v>
      </c>
      <c r="D425" s="56" t="str">
        <f>_xlfn.XLOOKUP(A425,'US Employee Payroll Cleaned'!G:G,'US Employee Payroll Cleaned'!H:H,"Not found")</f>
        <v xml:space="preserve"> SMAILBEGOVIC, OMAR</v>
      </c>
    </row>
    <row r="426" spans="1:4" x14ac:dyDescent="0.25">
      <c r="A426" s="21" t="s">
        <v>636</v>
      </c>
      <c r="B426" s="12" t="str">
        <f>VLOOKUP(A426,'US Employee Payroll Cleaned'!G:N,2,FALSE)</f>
        <v xml:space="preserve"> ESPINOZA, FERNANDO</v>
      </c>
      <c r="C426" s="61">
        <f>INDEX('US Employee Payroll Cleaned'!A:A,MATCH('Lookup Sheet'!A426,'US Employee Payroll Cleaned'!G:G,0))</f>
        <v>4274</v>
      </c>
      <c r="D426" s="56" t="str">
        <f>_xlfn.XLOOKUP(A426,'US Employee Payroll Cleaned'!G:G,'US Employee Payroll Cleaned'!H:H,"Not found")</f>
        <v xml:space="preserve"> ESPINOZA, FERNANDO</v>
      </c>
    </row>
    <row r="427" spans="1:4" x14ac:dyDescent="0.25">
      <c r="A427" s="21" t="s">
        <v>517</v>
      </c>
      <c r="B427" s="12" t="str">
        <f>VLOOKUP(A427,'US Employee Payroll Cleaned'!G:N,2,FALSE)</f>
        <v xml:space="preserve"> ASTUDILLO, ROBERTO</v>
      </c>
      <c r="C427" s="61">
        <f>INDEX('US Employee Payroll Cleaned'!A:A,MATCH('Lookup Sheet'!A427,'US Employee Payroll Cleaned'!G:G,0))</f>
        <v>3250</v>
      </c>
      <c r="D427" s="56" t="str">
        <f>_xlfn.XLOOKUP(A427,'US Employee Payroll Cleaned'!G:G,'US Employee Payroll Cleaned'!H:H,"Not found")</f>
        <v xml:space="preserve"> ASTUDILLO, ROBERTO</v>
      </c>
    </row>
    <row r="428" spans="1:4" x14ac:dyDescent="0.25">
      <c r="A428" s="21" t="s">
        <v>484</v>
      </c>
      <c r="B428" s="12" t="str">
        <f>VLOOKUP(A428,'US Employee Payroll Cleaned'!G:N,2,FALSE)</f>
        <v xml:space="preserve"> DICKHUT, KATHLEEN E</v>
      </c>
      <c r="C428" s="61">
        <f>INDEX('US Employee Payroll Cleaned'!A:A,MATCH('Lookup Sheet'!A428,'US Employee Payroll Cleaned'!G:G,0))</f>
        <v>5478</v>
      </c>
      <c r="D428" s="56" t="str">
        <f>_xlfn.XLOOKUP(A428,'US Employee Payroll Cleaned'!G:G,'US Employee Payroll Cleaned'!H:H,"Not found")</f>
        <v xml:space="preserve"> DICKHUT, KATHLEEN E</v>
      </c>
    </row>
    <row r="429" spans="1:4" x14ac:dyDescent="0.25">
      <c r="A429" s="21" t="s">
        <v>168</v>
      </c>
      <c r="B429" s="12" t="str">
        <f>VLOOKUP(A429,'US Employee Payroll Cleaned'!G:N,2,FALSE)</f>
        <v xml:space="preserve"> SCHMITZ, MATTHEW M</v>
      </c>
      <c r="C429" s="61">
        <f>INDEX('US Employee Payroll Cleaned'!A:A,MATCH('Lookup Sheet'!A429,'US Employee Payroll Cleaned'!G:G,0))</f>
        <v>5478</v>
      </c>
      <c r="D429" s="56" t="str">
        <f>_xlfn.XLOOKUP(A429,'US Employee Payroll Cleaned'!G:G,'US Employee Payroll Cleaned'!H:H,"Not found")</f>
        <v xml:space="preserve"> SCHMITZ, MATTHEW M</v>
      </c>
    </row>
    <row r="430" spans="1:4" x14ac:dyDescent="0.25">
      <c r="A430" s="21" t="s">
        <v>146</v>
      </c>
      <c r="B430" s="12" t="str">
        <f>VLOOKUP(A430,'US Employee Payroll Cleaned'!G:N,2,FALSE)</f>
        <v xml:space="preserve"> CANNON, ANGELA</v>
      </c>
      <c r="C430" s="61">
        <f>INDEX('US Employee Payroll Cleaned'!A:A,MATCH('Lookup Sheet'!A430,'US Employee Payroll Cleaned'!G:G,0))</f>
        <v>4134.5</v>
      </c>
      <c r="D430" s="56" t="str">
        <f>_xlfn.XLOOKUP(A430,'US Employee Payroll Cleaned'!G:G,'US Employee Payroll Cleaned'!H:H,"Not found")</f>
        <v xml:space="preserve"> CANNON, ANGELA</v>
      </c>
    </row>
    <row r="431" spans="1:4" x14ac:dyDescent="0.25">
      <c r="A431" s="21" t="s">
        <v>1209</v>
      </c>
      <c r="B431" s="12" t="str">
        <f>VLOOKUP(A431,'US Employee Payroll Cleaned'!G:N,2,FALSE)</f>
        <v xml:space="preserve"> KIRBY, JOANN B</v>
      </c>
      <c r="C431" s="61">
        <f>INDEX('US Employee Payroll Cleaned'!A:A,MATCH('Lookup Sheet'!A431,'US Employee Payroll Cleaned'!G:G,0))</f>
        <v>4672</v>
      </c>
      <c r="D431" s="56" t="str">
        <f>_xlfn.XLOOKUP(A431,'US Employee Payroll Cleaned'!G:G,'US Employee Payroll Cleaned'!H:H,"Not found")</f>
        <v xml:space="preserve"> KIRBY, JOANN B</v>
      </c>
    </row>
    <row r="432" spans="1:4" x14ac:dyDescent="0.25">
      <c r="A432" s="21" t="s">
        <v>1270</v>
      </c>
      <c r="B432" s="12" t="str">
        <f>VLOOKUP(A432,'US Employee Payroll Cleaned'!G:N,2,FALSE)</f>
        <v xml:space="preserve"> WOODS, DYLAN W</v>
      </c>
      <c r="C432" s="61">
        <f>INDEX('US Employee Payroll Cleaned'!A:A,MATCH('Lookup Sheet'!A432,'US Employee Payroll Cleaned'!G:G,0))</f>
        <v>400.35</v>
      </c>
      <c r="D432" s="56" t="str">
        <f>_xlfn.XLOOKUP(A432,'US Employee Payroll Cleaned'!G:G,'US Employee Payroll Cleaned'!H:H,"Not found")</f>
        <v xml:space="preserve"> WOODS, DYLAN W</v>
      </c>
    </row>
    <row r="433" spans="1:4" x14ac:dyDescent="0.25">
      <c r="A433" s="21" t="s">
        <v>268</v>
      </c>
      <c r="B433" s="12" t="str">
        <f>VLOOKUP(A433,'US Employee Payroll Cleaned'!G:N,2,FALSE)</f>
        <v xml:space="preserve"> RAMIREZ, CARLOS H</v>
      </c>
      <c r="C433" s="61">
        <f>INDEX('US Employee Payroll Cleaned'!A:A,MATCH('Lookup Sheet'!A433,'US Employee Payroll Cleaned'!G:G,0))</f>
        <v>5152.5</v>
      </c>
      <c r="D433" s="56" t="str">
        <f>_xlfn.XLOOKUP(A433,'US Employee Payroll Cleaned'!G:G,'US Employee Payroll Cleaned'!H:H,"Not found")</f>
        <v xml:space="preserve"> RAMIREZ, CARLOS H</v>
      </c>
    </row>
    <row r="434" spans="1:4" x14ac:dyDescent="0.25">
      <c r="A434" s="21" t="s">
        <v>1276</v>
      </c>
      <c r="B434" s="12" t="str">
        <f>VLOOKUP(A434,'US Employee Payroll Cleaned'!G:N,2,FALSE)</f>
        <v xml:space="preserve"> MARTINEZ, CARMEN M</v>
      </c>
      <c r="C434" s="61">
        <f>INDEX('US Employee Payroll Cleaned'!A:A,MATCH('Lookup Sheet'!A434,'US Employee Payroll Cleaned'!G:G,0))</f>
        <v>3875</v>
      </c>
      <c r="D434" s="56" t="str">
        <f>_xlfn.XLOOKUP(A434,'US Employee Payroll Cleaned'!G:G,'US Employee Payroll Cleaned'!H:H,"Not found")</f>
        <v xml:space="preserve"> MARTINEZ, CARMEN M</v>
      </c>
    </row>
    <row r="435" spans="1:4" x14ac:dyDescent="0.25">
      <c r="A435" s="21" t="s">
        <v>423</v>
      </c>
      <c r="B435" s="12" t="str">
        <f>VLOOKUP(A435,'US Employee Payroll Cleaned'!G:N,2,FALSE)</f>
        <v xml:space="preserve"> O'CONNOR, STEPHANIE K</v>
      </c>
      <c r="C435" s="61">
        <f>INDEX('US Employee Payroll Cleaned'!A:A,MATCH('Lookup Sheet'!A435,'US Employee Payroll Cleaned'!G:G,0))</f>
        <v>3467</v>
      </c>
      <c r="D435" s="56" t="str">
        <f>_xlfn.XLOOKUP(A435,'US Employee Payroll Cleaned'!G:G,'US Employee Payroll Cleaned'!H:H,"Not found")</f>
        <v xml:space="preserve"> O'CONNOR, STEPHANIE K</v>
      </c>
    </row>
    <row r="436" spans="1:4" x14ac:dyDescent="0.25">
      <c r="A436" s="21" t="s">
        <v>258</v>
      </c>
      <c r="B436" s="12" t="str">
        <f>VLOOKUP(A436,'US Employee Payroll Cleaned'!G:N,2,FALSE)</f>
        <v xml:space="preserve"> MUNGIN, WHITNI E</v>
      </c>
      <c r="C436" s="61">
        <f>INDEX('US Employee Payroll Cleaned'!A:A,MATCH('Lookup Sheet'!A436,'US Employee Payroll Cleaned'!G:G,0))</f>
        <v>4229.5</v>
      </c>
      <c r="D436" s="56" t="str">
        <f>_xlfn.XLOOKUP(A436,'US Employee Payroll Cleaned'!G:G,'US Employee Payroll Cleaned'!H:H,"Not found")</f>
        <v xml:space="preserve"> MUNGIN, WHITNI E</v>
      </c>
    </row>
    <row r="437" spans="1:4" x14ac:dyDescent="0.25">
      <c r="A437" s="21" t="s">
        <v>181</v>
      </c>
      <c r="B437" s="12" t="str">
        <f>VLOOKUP(A437,'US Employee Payroll Cleaned'!G:N,2,FALSE)</f>
        <v xml:space="preserve"> HAMILTON, NATASHA A</v>
      </c>
      <c r="C437" s="61">
        <f>INDEX('US Employee Payroll Cleaned'!A:A,MATCH('Lookup Sheet'!A437,'US Employee Payroll Cleaned'!G:G,0))</f>
        <v>6111.5</v>
      </c>
      <c r="D437" s="56" t="str">
        <f>_xlfn.XLOOKUP(A437,'US Employee Payroll Cleaned'!G:G,'US Employee Payroll Cleaned'!H:H,"Not found")</f>
        <v xml:space="preserve"> HAMILTON, NATASHA A</v>
      </c>
    </row>
    <row r="438" spans="1:4" x14ac:dyDescent="0.25">
      <c r="A438" s="21" t="s">
        <v>1108</v>
      </c>
      <c r="B438" s="12" t="str">
        <f>VLOOKUP(A438,'US Employee Payroll Cleaned'!G:N,2,FALSE)</f>
        <v xml:space="preserve"> MOTA, ROSENDO</v>
      </c>
      <c r="C438" s="61">
        <f>INDEX('US Employee Payroll Cleaned'!A:A,MATCH('Lookup Sheet'!A438,'US Employee Payroll Cleaned'!G:G,0))</f>
        <v>4659</v>
      </c>
      <c r="D438" s="56" t="str">
        <f>_xlfn.XLOOKUP(A438,'US Employee Payroll Cleaned'!G:G,'US Employee Payroll Cleaned'!H:H,"Not found")</f>
        <v xml:space="preserve"> MOTA, ROSENDO</v>
      </c>
    </row>
    <row r="439" spans="1:4" x14ac:dyDescent="0.25">
      <c r="A439" s="21" t="s">
        <v>202</v>
      </c>
      <c r="B439" s="12" t="str">
        <f>VLOOKUP(A439,'US Employee Payroll Cleaned'!G:N,2,FALSE)</f>
        <v xml:space="preserve"> MORGAN, LASHONDA L</v>
      </c>
      <c r="C439" s="61">
        <f>INDEX('US Employee Payroll Cleaned'!A:A,MATCH('Lookup Sheet'!A439,'US Employee Payroll Cleaned'!G:G,0))</f>
        <v>3394.5</v>
      </c>
      <c r="D439" s="56" t="str">
        <f>_xlfn.XLOOKUP(A439,'US Employee Payroll Cleaned'!G:G,'US Employee Payroll Cleaned'!H:H,"Not found")</f>
        <v xml:space="preserve"> MORGAN, LASHONDA L</v>
      </c>
    </row>
    <row r="440" spans="1:4" x14ac:dyDescent="0.25">
      <c r="A440" s="21" t="s">
        <v>476</v>
      </c>
      <c r="B440" s="12" t="str">
        <f>VLOOKUP(A440,'US Employee Payroll Cleaned'!G:N,2,FALSE)</f>
        <v xml:space="preserve"> HARRISON, KIMBERLEY A</v>
      </c>
      <c r="C440" s="61">
        <f>INDEX('US Employee Payroll Cleaned'!A:A,MATCH('Lookup Sheet'!A440,'US Employee Payroll Cleaned'!G:G,0))</f>
        <v>4280.5</v>
      </c>
      <c r="D440" s="56" t="str">
        <f>_xlfn.XLOOKUP(A440,'US Employee Payroll Cleaned'!G:G,'US Employee Payroll Cleaned'!H:H,"Not found")</f>
        <v xml:space="preserve"> HARRISON, KIMBERLEY A</v>
      </c>
    </row>
    <row r="441" spans="1:4" x14ac:dyDescent="0.25">
      <c r="A441" s="21" t="s">
        <v>236</v>
      </c>
      <c r="B441" s="12" t="str">
        <f>VLOOKUP(A441,'US Employee Payroll Cleaned'!G:N,2,FALSE)</f>
        <v xml:space="preserve"> RICE, CARL M</v>
      </c>
      <c r="C441" s="61">
        <f>INDEX('US Employee Payroll Cleaned'!A:A,MATCH('Lookup Sheet'!A441,'US Employee Payroll Cleaned'!G:G,0))</f>
        <v>2791</v>
      </c>
      <c r="D441" s="56" t="str">
        <f>_xlfn.XLOOKUP(A441,'US Employee Payroll Cleaned'!G:G,'US Employee Payroll Cleaned'!H:H,"Not found")</f>
        <v xml:space="preserve"> RICE, CARL M</v>
      </c>
    </row>
    <row r="442" spans="1:4" x14ac:dyDescent="0.25">
      <c r="A442" s="21" t="s">
        <v>517</v>
      </c>
      <c r="B442" s="12" t="str">
        <f>VLOOKUP(A442,'US Employee Payroll Cleaned'!G:N,2,FALSE)</f>
        <v xml:space="preserve"> ASTUDILLO, ROBERTO</v>
      </c>
      <c r="C442" s="61">
        <f>INDEX('US Employee Payroll Cleaned'!A:A,MATCH('Lookup Sheet'!A442,'US Employee Payroll Cleaned'!G:G,0))</f>
        <v>3250</v>
      </c>
      <c r="D442" s="56" t="str">
        <f>_xlfn.XLOOKUP(A442,'US Employee Payroll Cleaned'!G:G,'US Employee Payroll Cleaned'!H:H,"Not found")</f>
        <v xml:space="preserve"> ASTUDILLO, ROBERTO</v>
      </c>
    </row>
    <row r="443" spans="1:4" x14ac:dyDescent="0.25">
      <c r="A443" s="21" t="s">
        <v>1287</v>
      </c>
      <c r="B443" s="12" t="str">
        <f>VLOOKUP(A443,'US Employee Payroll Cleaned'!G:N,2,FALSE)</f>
        <v xml:space="preserve"> HARMET, KARA M</v>
      </c>
      <c r="C443" s="61">
        <f>INDEX('US Employee Payroll Cleaned'!A:A,MATCH('Lookup Sheet'!A443,'US Employee Payroll Cleaned'!G:G,0))</f>
        <v>2783.5</v>
      </c>
      <c r="D443" s="56" t="str">
        <f>_xlfn.XLOOKUP(A443,'US Employee Payroll Cleaned'!G:G,'US Employee Payroll Cleaned'!H:H,"Not found")</f>
        <v xml:space="preserve"> HARMET, KARA M</v>
      </c>
    </row>
    <row r="444" spans="1:4" x14ac:dyDescent="0.25">
      <c r="A444" s="21" t="s">
        <v>254</v>
      </c>
      <c r="B444" s="12" t="str">
        <f>VLOOKUP(A444,'US Employee Payroll Cleaned'!G:N,2,FALSE)</f>
        <v xml:space="preserve"> MURPHEY, THOMAS P</v>
      </c>
      <c r="C444" s="61">
        <f>INDEX('US Employee Payroll Cleaned'!A:A,MATCH('Lookup Sheet'!A444,'US Employee Payroll Cleaned'!G:G,0))</f>
        <v>5816.5</v>
      </c>
      <c r="D444" s="56" t="str">
        <f>_xlfn.XLOOKUP(A444,'US Employee Payroll Cleaned'!G:G,'US Employee Payroll Cleaned'!H:H,"Not found")</f>
        <v xml:space="preserve"> MURPHEY, THOMAS P</v>
      </c>
    </row>
    <row r="445" spans="1:4" x14ac:dyDescent="0.25">
      <c r="A445" s="21" t="s">
        <v>502</v>
      </c>
      <c r="B445" s="12" t="str">
        <f>VLOOKUP(A445,'US Employee Payroll Cleaned'!G:N,2,FALSE)</f>
        <v xml:space="preserve"> ALSAMMARAE, RIMA A</v>
      </c>
      <c r="C445" s="61">
        <f>INDEX('US Employee Payroll Cleaned'!A:A,MATCH('Lookup Sheet'!A445,'US Employee Payroll Cleaned'!G:G,0))</f>
        <v>4579.5</v>
      </c>
      <c r="D445" s="56" t="str">
        <f>_xlfn.XLOOKUP(A445,'US Employee Payroll Cleaned'!G:G,'US Employee Payroll Cleaned'!H:H,"Not found")</f>
        <v xml:space="preserve"> ALSAMMARAE, RIMA A</v>
      </c>
    </row>
    <row r="446" spans="1:4" x14ac:dyDescent="0.25">
      <c r="A446" s="21" t="s">
        <v>399</v>
      </c>
      <c r="B446" s="12" t="str">
        <f>VLOOKUP(A446,'US Employee Payroll Cleaned'!G:N,2,FALSE)</f>
        <v xml:space="preserve"> PENA, ANTONIO G</v>
      </c>
      <c r="C446" s="61">
        <f>INDEX('US Employee Payroll Cleaned'!A:A,MATCH('Lookup Sheet'!A446,'US Employee Payroll Cleaned'!G:G,0))</f>
        <v>2665.5</v>
      </c>
      <c r="D446" s="56" t="str">
        <f>_xlfn.XLOOKUP(A446,'US Employee Payroll Cleaned'!G:G,'US Employee Payroll Cleaned'!H:H,"Not found")</f>
        <v xml:space="preserve"> PENA, ANTONIO G</v>
      </c>
    </row>
    <row r="447" spans="1:4" x14ac:dyDescent="0.25">
      <c r="A447" s="21" t="s">
        <v>287</v>
      </c>
      <c r="B447" s="12" t="str">
        <f>VLOOKUP(A447,'US Employee Payroll Cleaned'!G:N,2,FALSE)</f>
        <v xml:space="preserve"> PATE, ONEIDA R</v>
      </c>
      <c r="C447" s="61">
        <f>INDEX('US Employee Payroll Cleaned'!A:A,MATCH('Lookup Sheet'!A447,'US Employee Payroll Cleaned'!G:G,0))</f>
        <v>4274</v>
      </c>
      <c r="D447" s="56" t="str">
        <f>_xlfn.XLOOKUP(A447,'US Employee Payroll Cleaned'!G:G,'US Employee Payroll Cleaned'!H:H,"Not found")</f>
        <v xml:space="preserve"> PATE, ONEIDA R</v>
      </c>
    </row>
    <row r="448" spans="1:4" x14ac:dyDescent="0.25">
      <c r="A448" s="21" t="s">
        <v>683</v>
      </c>
      <c r="B448" s="12" t="str">
        <f>VLOOKUP(A448,'US Employee Payroll Cleaned'!G:N,2,FALSE)</f>
        <v xml:space="preserve"> SPERRY, HEIDI L</v>
      </c>
      <c r="C448" s="61">
        <f>INDEX('US Employee Payroll Cleaned'!A:A,MATCH('Lookup Sheet'!A448,'US Employee Payroll Cleaned'!G:G,0))</f>
        <v>4423</v>
      </c>
      <c r="D448" s="56" t="str">
        <f>_xlfn.XLOOKUP(A448,'US Employee Payroll Cleaned'!G:G,'US Employee Payroll Cleaned'!H:H,"Not found")</f>
        <v xml:space="preserve"> SPERRY, HEIDI L</v>
      </c>
    </row>
    <row r="449" spans="1:4" x14ac:dyDescent="0.25">
      <c r="A449" s="21" t="s">
        <v>510</v>
      </c>
      <c r="B449" s="12" t="str">
        <f>VLOOKUP(A449,'US Employee Payroll Cleaned'!G:N,2,FALSE)</f>
        <v xml:space="preserve"> SCHNEIDER, JOHN A</v>
      </c>
      <c r="C449" s="61">
        <f>INDEX('US Employee Payroll Cleaned'!A:A,MATCH('Lookup Sheet'!A449,'US Employee Payroll Cleaned'!G:G,0))</f>
        <v>3768.5</v>
      </c>
      <c r="D449" s="56" t="str">
        <f>_xlfn.XLOOKUP(A449,'US Employee Payroll Cleaned'!G:G,'US Employee Payroll Cleaned'!H:H,"Not found")</f>
        <v xml:space="preserve"> SCHNEIDER, JOHN A</v>
      </c>
    </row>
    <row r="450" spans="1:4" x14ac:dyDescent="0.25">
      <c r="A450" s="21" t="s">
        <v>193</v>
      </c>
      <c r="B450" s="12" t="str">
        <f>VLOOKUP(A450,'US Employee Payroll Cleaned'!G:N,2,FALSE)</f>
        <v xml:space="preserve"> MORENO, BRIAN K</v>
      </c>
      <c r="C450" s="61">
        <f>INDEX('US Employee Payroll Cleaned'!A:A,MATCH('Lookup Sheet'!A450,'US Employee Payroll Cleaned'!G:G,0))</f>
        <v>-1378.03</v>
      </c>
      <c r="D450" s="56" t="str">
        <f>_xlfn.XLOOKUP(A450,'US Employee Payroll Cleaned'!G:G,'US Employee Payroll Cleaned'!H:H,"Not found")</f>
        <v xml:space="preserve"> MORENO, BRIAN K</v>
      </c>
    </row>
    <row r="451" spans="1:4" x14ac:dyDescent="0.25">
      <c r="A451" s="21" t="s">
        <v>56</v>
      </c>
      <c r="B451" s="12" t="str">
        <f>VLOOKUP(A451,'US Employee Payroll Cleaned'!G:N,2,FALSE)</f>
        <v xml:space="preserve"> DAYE, RONALD J</v>
      </c>
      <c r="C451" s="61">
        <f>INDEX('US Employee Payroll Cleaned'!A:A,MATCH('Lookup Sheet'!A451,'US Employee Payroll Cleaned'!G:G,0))</f>
        <v>4274</v>
      </c>
      <c r="D451" s="56" t="str">
        <f>_xlfn.XLOOKUP(A451,'US Employee Payroll Cleaned'!G:G,'US Employee Payroll Cleaned'!H:H,"Not found")</f>
        <v xml:space="preserve"> DAYE, RONALD J</v>
      </c>
    </row>
    <row r="452" spans="1:4" x14ac:dyDescent="0.25">
      <c r="A452" s="21" t="s">
        <v>34</v>
      </c>
      <c r="B452" s="12" t="str">
        <f>VLOOKUP(A452,'US Employee Payroll Cleaned'!G:N,2,FALSE)</f>
        <v xml:space="preserve"> GRAYER, SHELIA D</v>
      </c>
      <c r="C452" s="61">
        <f>INDEX('US Employee Payroll Cleaned'!A:A,MATCH('Lookup Sheet'!A452,'US Employee Payroll Cleaned'!G:G,0))</f>
        <v>3902.5</v>
      </c>
      <c r="D452" s="56" t="str">
        <f>_xlfn.XLOOKUP(A452,'US Employee Payroll Cleaned'!G:G,'US Employee Payroll Cleaned'!H:H,"Not found")</f>
        <v xml:space="preserve"> GRAYER, SHELIA D</v>
      </c>
    </row>
    <row r="453" spans="1:4" x14ac:dyDescent="0.25">
      <c r="A453" s="21" t="s">
        <v>330</v>
      </c>
      <c r="B453" s="12" t="str">
        <f>VLOOKUP(A453,'US Employee Payroll Cleaned'!G:N,2,FALSE)</f>
        <v xml:space="preserve"> RADZEVICH, NANCY M</v>
      </c>
      <c r="C453" s="61">
        <f>INDEX('US Employee Payroll Cleaned'!A:A,MATCH('Lookup Sheet'!A453,'US Employee Payroll Cleaned'!G:G,0))</f>
        <v>4579.5</v>
      </c>
      <c r="D453" s="56" t="str">
        <f>_xlfn.XLOOKUP(A453,'US Employee Payroll Cleaned'!G:G,'US Employee Payroll Cleaned'!H:H,"Not found")</f>
        <v xml:space="preserve"> RADZEVICH, NANCY M</v>
      </c>
    </row>
    <row r="454" spans="1:4" x14ac:dyDescent="0.25">
      <c r="A454" s="21" t="s">
        <v>1303</v>
      </c>
      <c r="B454" s="12" t="str">
        <f>VLOOKUP(A454,'US Employee Payroll Cleaned'!G:N,2,FALSE)</f>
        <v xml:space="preserve"> RIVERA, YASMIN M</v>
      </c>
      <c r="C454" s="61">
        <f>INDEX('US Employee Payroll Cleaned'!A:A,MATCH('Lookup Sheet'!A454,'US Employee Payroll Cleaned'!G:G,0))</f>
        <v>4330</v>
      </c>
      <c r="D454" s="56" t="str">
        <f>_xlfn.XLOOKUP(A454,'US Employee Payroll Cleaned'!G:G,'US Employee Payroll Cleaned'!H:H,"Not found")</f>
        <v xml:space="preserve"> RIVERA, YASMIN M</v>
      </c>
    </row>
    <row r="455" spans="1:4" x14ac:dyDescent="0.25">
      <c r="A455" s="21" t="s">
        <v>354</v>
      </c>
      <c r="B455" s="12" t="str">
        <f>VLOOKUP(A455,'US Employee Payroll Cleaned'!G:N,2,FALSE)</f>
        <v xml:space="preserve"> MURDOCH,  JASON J</v>
      </c>
      <c r="C455" s="61">
        <f>INDEX('US Employee Payroll Cleaned'!A:A,MATCH('Lookup Sheet'!A455,'US Employee Payroll Cleaned'!G:G,0))</f>
        <v>1557.38</v>
      </c>
      <c r="D455" s="56" t="str">
        <f>_xlfn.XLOOKUP(A455,'US Employee Payroll Cleaned'!G:G,'US Employee Payroll Cleaned'!H:H,"Not found")</f>
        <v xml:space="preserve"> MURDOCH,  JASON J</v>
      </c>
    </row>
    <row r="456" spans="1:4" x14ac:dyDescent="0.25">
      <c r="A456" s="21" t="s">
        <v>493</v>
      </c>
      <c r="B456" s="12" t="str">
        <f>VLOOKUP(A456,'US Employee Payroll Cleaned'!G:N,2,FALSE)</f>
        <v xml:space="preserve"> SMAILBEGOVIC, OMAR</v>
      </c>
      <c r="C456" s="61">
        <f>INDEX('US Employee Payroll Cleaned'!A:A,MATCH('Lookup Sheet'!A456,'US Employee Payroll Cleaned'!G:G,0))</f>
        <v>3160.5</v>
      </c>
      <c r="D456" s="56" t="str">
        <f>_xlfn.XLOOKUP(A456,'US Employee Payroll Cleaned'!G:G,'US Employee Payroll Cleaned'!H:H,"Not found")</f>
        <v xml:space="preserve"> SMAILBEGOVIC, OMAR</v>
      </c>
    </row>
    <row r="457" spans="1:4" x14ac:dyDescent="0.25">
      <c r="A457" s="21" t="s">
        <v>636</v>
      </c>
      <c r="B457" s="12" t="str">
        <f>VLOOKUP(A457,'US Employee Payroll Cleaned'!G:N,2,FALSE)</f>
        <v xml:space="preserve"> ESPINOZA, FERNANDO</v>
      </c>
      <c r="C457" s="61">
        <f>INDEX('US Employee Payroll Cleaned'!A:A,MATCH('Lookup Sheet'!A457,'US Employee Payroll Cleaned'!G:G,0))</f>
        <v>4274</v>
      </c>
      <c r="D457" s="56" t="str">
        <f>_xlfn.XLOOKUP(A457,'US Employee Payroll Cleaned'!G:G,'US Employee Payroll Cleaned'!H:H,"Not found")</f>
        <v xml:space="preserve"> ESPINOZA, FERNANDO</v>
      </c>
    </row>
    <row r="458" spans="1:4" x14ac:dyDescent="0.25">
      <c r="A458" s="21" t="s">
        <v>489</v>
      </c>
      <c r="B458" s="12" t="str">
        <f>VLOOKUP(A458,'US Employee Payroll Cleaned'!G:N,2,FALSE)</f>
        <v xml:space="preserve"> O'DONNELL, BRIAN</v>
      </c>
      <c r="C458" s="61">
        <f>INDEX('US Employee Payroll Cleaned'!A:A,MATCH('Lookup Sheet'!A458,'US Employee Payroll Cleaned'!G:G,0))</f>
        <v>4232.5</v>
      </c>
      <c r="D458" s="56" t="str">
        <f>_xlfn.XLOOKUP(A458,'US Employee Payroll Cleaned'!G:G,'US Employee Payroll Cleaned'!H:H,"Not found")</f>
        <v xml:space="preserve"> O'DONNELL, BRIAN</v>
      </c>
    </row>
    <row r="459" spans="1:4" x14ac:dyDescent="0.25">
      <c r="A459" s="21" t="s">
        <v>436</v>
      </c>
      <c r="B459" s="12" t="str">
        <f>VLOOKUP(A459,'US Employee Payroll Cleaned'!G:N,2,FALSE)</f>
        <v xml:space="preserve"> MASON JOHNSON, CHRISTINA</v>
      </c>
      <c r="C459" s="61">
        <f>INDEX('US Employee Payroll Cleaned'!A:A,MATCH('Lookup Sheet'!A459,'US Employee Payroll Cleaned'!G:G,0))</f>
        <v>3166.5</v>
      </c>
      <c r="D459" s="56" t="str">
        <f>_xlfn.XLOOKUP(A459,'US Employee Payroll Cleaned'!G:G,'US Employee Payroll Cleaned'!H:H,"Not found")</f>
        <v xml:space="preserve"> MASON JOHNSON, CHRISTINA</v>
      </c>
    </row>
    <row r="460" spans="1:4" x14ac:dyDescent="0.25">
      <c r="A460" s="21" t="s">
        <v>1190</v>
      </c>
      <c r="B460" s="12" t="str">
        <f>VLOOKUP(A460,'US Employee Payroll Cleaned'!G:N,2,FALSE)</f>
        <v xml:space="preserve"> HAHN, KANDALYN</v>
      </c>
      <c r="C460" s="61">
        <f>INDEX('US Employee Payroll Cleaned'!A:A,MATCH('Lookup Sheet'!A460,'US Employee Payroll Cleaned'!G:G,0))</f>
        <v>3768.5</v>
      </c>
      <c r="D460" s="56" t="str">
        <f>_xlfn.XLOOKUP(A460,'US Employee Payroll Cleaned'!G:G,'US Employee Payroll Cleaned'!H:H,"Not found")</f>
        <v xml:space="preserve"> HAHN, KANDALYN</v>
      </c>
    </row>
    <row r="461" spans="1:4" x14ac:dyDescent="0.25">
      <c r="A461" s="21" t="s">
        <v>383</v>
      </c>
      <c r="B461" s="12" t="str">
        <f>VLOOKUP(A461,'US Employee Payroll Cleaned'!G:N,2,FALSE)</f>
        <v xml:space="preserve"> CURRY, NORA</v>
      </c>
      <c r="C461" s="61">
        <f>INDEX('US Employee Payroll Cleaned'!A:A,MATCH('Lookup Sheet'!A461,'US Employee Payroll Cleaned'!G:G,0))</f>
        <v>5212</v>
      </c>
      <c r="D461" s="56" t="str">
        <f>_xlfn.XLOOKUP(A461,'US Employee Payroll Cleaned'!G:G,'US Employee Payroll Cleaned'!H:H,"Not found")</f>
        <v xml:space="preserve"> CURRY, NORA</v>
      </c>
    </row>
    <row r="462" spans="1:4" x14ac:dyDescent="0.25">
      <c r="A462" s="21" t="s">
        <v>387</v>
      </c>
      <c r="B462" s="12" t="str">
        <f>VLOOKUP(A462,'US Employee Payroll Cleaned'!G:N,2,FALSE)</f>
        <v xml:space="preserve"> RAMOS, JOYCE I</v>
      </c>
      <c r="C462" s="61">
        <f>INDEX('US Employee Payroll Cleaned'!A:A,MATCH('Lookup Sheet'!A462,'US Employee Payroll Cleaned'!G:G,0))</f>
        <v>3340.5</v>
      </c>
      <c r="D462" s="56" t="str">
        <f>_xlfn.XLOOKUP(A462,'US Employee Payroll Cleaned'!G:G,'US Employee Payroll Cleaned'!H:H,"Not found")</f>
        <v xml:space="preserve"> RAMOS, JOYCE I</v>
      </c>
    </row>
    <row r="463" spans="1:4" x14ac:dyDescent="0.25">
      <c r="A463" s="21" t="s">
        <v>502</v>
      </c>
      <c r="B463" s="12" t="str">
        <f>VLOOKUP(A463,'US Employee Payroll Cleaned'!G:N,2,FALSE)</f>
        <v xml:space="preserve"> ALSAMMARAE, RIMA A</v>
      </c>
      <c r="C463" s="61">
        <f>INDEX('US Employee Payroll Cleaned'!A:A,MATCH('Lookup Sheet'!A463,'US Employee Payroll Cleaned'!G:G,0))</f>
        <v>4579.5</v>
      </c>
      <c r="D463" s="56" t="str">
        <f>_xlfn.XLOOKUP(A463,'US Employee Payroll Cleaned'!G:G,'US Employee Payroll Cleaned'!H:H,"Not found")</f>
        <v xml:space="preserve"> ALSAMMARAE, RIMA A</v>
      </c>
    </row>
    <row r="464" spans="1:4" x14ac:dyDescent="0.25">
      <c r="A464" s="21" t="s">
        <v>62</v>
      </c>
      <c r="B464" s="12" t="str">
        <f>VLOOKUP(A464,'US Employee Payroll Cleaned'!G:N,2,FALSE)</f>
        <v xml:space="preserve"> ALBERT, DAMIAN K</v>
      </c>
      <c r="C464" s="61">
        <f>INDEX('US Employee Payroll Cleaned'!A:A,MATCH('Lookup Sheet'!A464,'US Employee Payroll Cleaned'!G:G,0))</f>
        <v>-194.51</v>
      </c>
      <c r="D464" s="56" t="str">
        <f>_xlfn.XLOOKUP(A464,'US Employee Payroll Cleaned'!G:G,'US Employee Payroll Cleaned'!H:H,"Not found")</f>
        <v xml:space="preserve"> ALBERT, DAMIAN K</v>
      </c>
    </row>
    <row r="465" spans="1:4" x14ac:dyDescent="0.25">
      <c r="A465" s="21" t="s">
        <v>105</v>
      </c>
      <c r="B465" s="12" t="str">
        <f>VLOOKUP(A465,'US Employee Payroll Cleaned'!G:N,2,FALSE)</f>
        <v xml:space="preserve"> THOMPSON, TAYLOR J</v>
      </c>
      <c r="C465" s="61">
        <f>INDEX('US Employee Payroll Cleaned'!A:A,MATCH('Lookup Sheet'!A465,'US Employee Payroll Cleaned'!G:G,0))</f>
        <v>2708</v>
      </c>
      <c r="D465" s="56" t="str">
        <f>_xlfn.XLOOKUP(A465,'US Employee Payroll Cleaned'!G:G,'US Employee Payroll Cleaned'!H:H,"Not found")</f>
        <v xml:space="preserve"> THOMPSON, TAYLOR J</v>
      </c>
    </row>
    <row r="466" spans="1:4" x14ac:dyDescent="0.25">
      <c r="A466" s="21" t="s">
        <v>406</v>
      </c>
      <c r="B466" s="12" t="str">
        <f>VLOOKUP(A466,'US Employee Payroll Cleaned'!G:N,2,FALSE)</f>
        <v xml:space="preserve"> MICHAELS, JAMES</v>
      </c>
      <c r="C466" s="61">
        <f>INDEX('US Employee Payroll Cleaned'!A:A,MATCH('Lookup Sheet'!A466,'US Employee Payroll Cleaned'!G:G,0))</f>
        <v>3360.5</v>
      </c>
      <c r="D466" s="56" t="str">
        <f>_xlfn.XLOOKUP(A466,'US Employee Payroll Cleaned'!G:G,'US Employee Payroll Cleaned'!H:H,"Not found")</f>
        <v xml:space="preserve"> MICHAELS, JAMES</v>
      </c>
    </row>
    <row r="467" spans="1:4" x14ac:dyDescent="0.25">
      <c r="A467" s="21" t="s">
        <v>597</v>
      </c>
      <c r="B467" s="12" t="str">
        <f>VLOOKUP(A467,'US Employee Payroll Cleaned'!G:N,2,FALSE)</f>
        <v xml:space="preserve"> CUVALO, DIJANA</v>
      </c>
      <c r="C467" s="61">
        <f>INDEX('US Employee Payroll Cleaned'!A:A,MATCH('Lookup Sheet'!A467,'US Employee Payroll Cleaned'!G:G,0))</f>
        <v>5088</v>
      </c>
      <c r="D467" s="56" t="str">
        <f>_xlfn.XLOOKUP(A467,'US Employee Payroll Cleaned'!G:G,'US Employee Payroll Cleaned'!H:H,"Not found")</f>
        <v xml:space="preserve"> CUVALO, DIJANA</v>
      </c>
    </row>
    <row r="468" spans="1:4" x14ac:dyDescent="0.25">
      <c r="A468" s="21" t="s">
        <v>224</v>
      </c>
      <c r="B468" s="12" t="str">
        <f>VLOOKUP(A468,'US Employee Payroll Cleaned'!G:N,2,FALSE)</f>
        <v xml:space="preserve"> JOHNSON, AARON M</v>
      </c>
      <c r="C468" s="61">
        <f>INDEX('US Employee Payroll Cleaned'!A:A,MATCH('Lookup Sheet'!A468,'US Employee Payroll Cleaned'!G:G,0))</f>
        <v>4064.5</v>
      </c>
      <c r="D468" s="56" t="str">
        <f>_xlfn.XLOOKUP(A468,'US Employee Payroll Cleaned'!G:G,'US Employee Payroll Cleaned'!H:H,"Not found")</f>
        <v xml:space="preserve"> JOHNSON, AARON M</v>
      </c>
    </row>
    <row r="469" spans="1:4" x14ac:dyDescent="0.25">
      <c r="A469" s="21" t="s">
        <v>604</v>
      </c>
      <c r="B469" s="12" t="str">
        <f>VLOOKUP(A469,'US Employee Payroll Cleaned'!G:N,2,FALSE)</f>
        <v xml:space="preserve"> NOVARA, MARISA C</v>
      </c>
      <c r="C469" s="61">
        <f>INDEX('US Employee Payroll Cleaned'!A:A,MATCH('Lookup Sheet'!A469,'US Employee Payroll Cleaned'!G:G,0))</f>
        <v>7916.5</v>
      </c>
      <c r="D469" s="56" t="str">
        <f>_xlfn.XLOOKUP(A469,'US Employee Payroll Cleaned'!G:G,'US Employee Payroll Cleaned'!H:H,"Not found")</f>
        <v xml:space="preserve"> NOVARA, MARISA C</v>
      </c>
    </row>
    <row r="470" spans="1:4" x14ac:dyDescent="0.25">
      <c r="A470" s="21" t="s">
        <v>187</v>
      </c>
      <c r="B470" s="12" t="str">
        <f>VLOOKUP(A470,'US Employee Payroll Cleaned'!G:N,2,FALSE)</f>
        <v xml:space="preserve"> MCKEE, ZACHARIA G</v>
      </c>
      <c r="C470" s="61">
        <f>INDEX('US Employee Payroll Cleaned'!A:A,MATCH('Lookup Sheet'!A470,'US Employee Payroll Cleaned'!G:G,0))</f>
        <v>546.70000000000005</v>
      </c>
      <c r="D470" s="56" t="str">
        <f>_xlfn.XLOOKUP(A470,'US Employee Payroll Cleaned'!G:G,'US Employee Payroll Cleaned'!H:H,"Not found")</f>
        <v xml:space="preserve"> MCKEE, ZACHARIA G</v>
      </c>
    </row>
    <row r="471" spans="1:4" x14ac:dyDescent="0.25">
      <c r="A471" s="21" t="s">
        <v>452</v>
      </c>
      <c r="B471" s="12" t="str">
        <f>VLOOKUP(A471,'US Employee Payroll Cleaned'!G:N,2,FALSE)</f>
        <v xml:space="preserve"> SZAFRANIEC, NOAH J</v>
      </c>
      <c r="C471" s="61">
        <f>INDEX('US Employee Payroll Cleaned'!A:A,MATCH('Lookup Sheet'!A471,'US Employee Payroll Cleaned'!G:G,0))</f>
        <v>4534</v>
      </c>
      <c r="D471" s="56" t="str">
        <f>_xlfn.XLOOKUP(A471,'US Employee Payroll Cleaned'!G:G,'US Employee Payroll Cleaned'!H:H,"Not found")</f>
        <v xml:space="preserve"> SZAFRANIEC, NOAH J</v>
      </c>
    </row>
    <row r="472" spans="1:4" x14ac:dyDescent="0.25">
      <c r="A472" s="21" t="s">
        <v>1115</v>
      </c>
      <c r="B472" s="12" t="str">
        <f>VLOOKUP(A472,'US Employee Payroll Cleaned'!G:N,2,FALSE)</f>
        <v xml:space="preserve"> GLASS, ERIK L</v>
      </c>
      <c r="C472" s="61">
        <f>INDEX('US Employee Payroll Cleaned'!A:A,MATCH('Lookup Sheet'!A472,'US Employee Payroll Cleaned'!G:G,0))</f>
        <v>4672</v>
      </c>
      <c r="D472" s="56" t="str">
        <f>_xlfn.XLOOKUP(A472,'US Employee Payroll Cleaned'!G:G,'US Employee Payroll Cleaned'!H:H,"Not found")</f>
        <v xml:space="preserve"> GLASS, ERIK L</v>
      </c>
    </row>
    <row r="473" spans="1:4" x14ac:dyDescent="0.25">
      <c r="A473" s="21" t="s">
        <v>423</v>
      </c>
      <c r="B473" s="12" t="str">
        <f>VLOOKUP(A473,'US Employee Payroll Cleaned'!G:N,2,FALSE)</f>
        <v xml:space="preserve"> O'CONNOR, STEPHANIE K</v>
      </c>
      <c r="C473" s="61">
        <f>INDEX('US Employee Payroll Cleaned'!A:A,MATCH('Lookup Sheet'!A473,'US Employee Payroll Cleaned'!G:G,0))</f>
        <v>3467</v>
      </c>
      <c r="D473" s="56" t="str">
        <f>_xlfn.XLOOKUP(A473,'US Employee Payroll Cleaned'!G:G,'US Employee Payroll Cleaned'!H:H,"Not found")</f>
        <v xml:space="preserve"> O'CONNOR, STEPHANIE K</v>
      </c>
    </row>
    <row r="474" spans="1:4" x14ac:dyDescent="0.25">
      <c r="A474" s="21" t="s">
        <v>412</v>
      </c>
      <c r="B474" s="12" t="str">
        <f>VLOOKUP(A474,'US Employee Payroll Cleaned'!G:N,2,FALSE)</f>
        <v xml:space="preserve"> WHEATEN, KEISHA J</v>
      </c>
      <c r="C474" s="61">
        <f>INDEX('US Employee Payroll Cleaned'!A:A,MATCH('Lookup Sheet'!A474,'US Employee Payroll Cleaned'!G:G,0))</f>
        <v>3467</v>
      </c>
      <c r="D474" s="56" t="str">
        <f>_xlfn.XLOOKUP(A474,'US Employee Payroll Cleaned'!G:G,'US Employee Payroll Cleaned'!H:H,"Not found")</f>
        <v xml:space="preserve"> WHEATEN, KEISHA J</v>
      </c>
    </row>
    <row r="475" spans="1:4" x14ac:dyDescent="0.25">
      <c r="A475" s="21" t="s">
        <v>309</v>
      </c>
      <c r="B475" s="12" t="str">
        <f>VLOOKUP(A475,'US Employee Payroll Cleaned'!G:N,2,FALSE)</f>
        <v xml:space="preserve"> KHALIQUE, FARHAN A</v>
      </c>
      <c r="C475" s="61">
        <f>INDEX('US Employee Payroll Cleaned'!A:A,MATCH('Lookup Sheet'!A475,'US Employee Payroll Cleaned'!G:G,0))</f>
        <v>4043</v>
      </c>
      <c r="D475" s="56" t="str">
        <f>_xlfn.XLOOKUP(A475,'US Employee Payroll Cleaned'!G:G,'US Employee Payroll Cleaned'!H:H,"Not found")</f>
        <v xml:space="preserve"> KHALIQUE, FARHAN A</v>
      </c>
    </row>
    <row r="476" spans="1:4" x14ac:dyDescent="0.25">
      <c r="A476" s="21" t="s">
        <v>283</v>
      </c>
      <c r="B476" s="12" t="str">
        <f>VLOOKUP(A476,'US Employee Payroll Cleaned'!G:N,2,FALSE)</f>
        <v xml:space="preserve"> ALNASER, ANNA Y</v>
      </c>
      <c r="C476" s="61">
        <f>INDEX('US Employee Payroll Cleaned'!A:A,MATCH('Lookup Sheet'!A476,'US Employee Payroll Cleaned'!G:G,0))</f>
        <v>2783.5</v>
      </c>
      <c r="D476" s="56" t="str">
        <f>_xlfn.XLOOKUP(A476,'US Employee Payroll Cleaned'!G:G,'US Employee Payroll Cleaned'!H:H,"Not found")</f>
        <v xml:space="preserve"> ALNASER, ANNA Y</v>
      </c>
    </row>
    <row r="477" spans="1:4" x14ac:dyDescent="0.25">
      <c r="A477" s="21" t="s">
        <v>287</v>
      </c>
      <c r="B477" s="12" t="str">
        <f>VLOOKUP(A477,'US Employee Payroll Cleaned'!G:N,2,FALSE)</f>
        <v xml:space="preserve"> PATE, ONEIDA R</v>
      </c>
      <c r="C477" s="61">
        <f>INDEX('US Employee Payroll Cleaned'!A:A,MATCH('Lookup Sheet'!A477,'US Employee Payroll Cleaned'!G:G,0))</f>
        <v>4274</v>
      </c>
      <c r="D477" s="56" t="str">
        <f>_xlfn.XLOOKUP(A477,'US Employee Payroll Cleaned'!G:G,'US Employee Payroll Cleaned'!H:H,"Not found")</f>
        <v xml:space="preserve"> PATE, ONEIDA R</v>
      </c>
    </row>
    <row r="478" spans="1:4" x14ac:dyDescent="0.25">
      <c r="A478" s="21" t="s">
        <v>1115</v>
      </c>
      <c r="B478" s="12" t="str">
        <f>VLOOKUP(A478,'US Employee Payroll Cleaned'!G:N,2,FALSE)</f>
        <v xml:space="preserve"> GLASS, ERIK L</v>
      </c>
      <c r="C478" s="61">
        <f>INDEX('US Employee Payroll Cleaned'!A:A,MATCH('Lookup Sheet'!A478,'US Employee Payroll Cleaned'!G:G,0))</f>
        <v>4672</v>
      </c>
      <c r="D478" s="56" t="str">
        <f>_xlfn.XLOOKUP(A478,'US Employee Payroll Cleaned'!G:G,'US Employee Payroll Cleaned'!H:H,"Not found")</f>
        <v xml:space="preserve"> GLASS, ERIK L</v>
      </c>
    </row>
    <row r="479" spans="1:4" x14ac:dyDescent="0.25">
      <c r="A479" s="21" t="s">
        <v>390</v>
      </c>
      <c r="B479" s="12" t="str">
        <f>VLOOKUP(A479,'US Employee Payroll Cleaned'!G:N,2,FALSE)</f>
        <v xml:space="preserve"> GARCIA, GERARDO</v>
      </c>
      <c r="C479" s="61">
        <f>INDEX('US Employee Payroll Cleaned'!A:A,MATCH('Lookup Sheet'!A479,'US Employee Payroll Cleaned'!G:G,0))</f>
        <v>5317</v>
      </c>
      <c r="D479" s="56" t="str">
        <f>_xlfn.XLOOKUP(A479,'US Employee Payroll Cleaned'!G:G,'US Employee Payroll Cleaned'!H:H,"Not found")</f>
        <v xml:space="preserve"> GARCIA, GERARDO</v>
      </c>
    </row>
    <row r="480" spans="1:4" x14ac:dyDescent="0.25">
      <c r="A480" s="21" t="s">
        <v>412</v>
      </c>
      <c r="B480" s="12" t="str">
        <f>VLOOKUP(A480,'US Employee Payroll Cleaned'!G:N,2,FALSE)</f>
        <v xml:space="preserve"> WHEATEN, KEISHA J</v>
      </c>
      <c r="C480" s="61">
        <f>INDEX('US Employee Payroll Cleaned'!A:A,MATCH('Lookup Sheet'!A480,'US Employee Payroll Cleaned'!G:G,0))</f>
        <v>3467</v>
      </c>
      <c r="D480" s="56" t="str">
        <f>_xlfn.XLOOKUP(A480,'US Employee Payroll Cleaned'!G:G,'US Employee Payroll Cleaned'!H:H,"Not found")</f>
        <v xml:space="preserve"> WHEATEN, KEISHA J</v>
      </c>
    </row>
    <row r="481" spans="1:4" x14ac:dyDescent="0.25">
      <c r="A481" s="21" t="s">
        <v>299</v>
      </c>
      <c r="B481" s="12" t="str">
        <f>VLOOKUP(A481,'US Employee Payroll Cleaned'!G:N,2,FALSE)</f>
        <v xml:space="preserve"> COLLINS, KATRINA M</v>
      </c>
      <c r="C481" s="61">
        <f>INDEX('US Employee Payroll Cleaned'!A:A,MATCH('Lookup Sheet'!A481,'US Employee Payroll Cleaned'!G:G,0))</f>
        <v>3398</v>
      </c>
      <c r="D481" s="56" t="str">
        <f>_xlfn.XLOOKUP(A481,'US Employee Payroll Cleaned'!G:G,'US Employee Payroll Cleaned'!H:H,"Not found")</f>
        <v xml:space="preserve"> COLLINS, KATRINA M</v>
      </c>
    </row>
    <row r="482" spans="1:4" x14ac:dyDescent="0.25">
      <c r="A482" s="21" t="s">
        <v>416</v>
      </c>
      <c r="B482" s="12" t="str">
        <f>VLOOKUP(A482,'US Employee Payroll Cleaned'!G:N,2,FALSE)</f>
        <v xml:space="preserve"> O'BRIEN, JACK F</v>
      </c>
      <c r="C482" s="61">
        <f>INDEX('US Employee Payroll Cleaned'!A:A,MATCH('Lookup Sheet'!A482,'US Employee Payroll Cleaned'!G:G,0))</f>
        <v>365.75</v>
      </c>
      <c r="D482" s="56" t="str">
        <f>_xlfn.XLOOKUP(A482,'US Employee Payroll Cleaned'!G:G,'US Employee Payroll Cleaned'!H:H,"Not found")</f>
        <v xml:space="preserve"> O'BRIEN, JACK F</v>
      </c>
    </row>
    <row r="483" spans="1:4" x14ac:dyDescent="0.25">
      <c r="A483" s="21" t="s">
        <v>1338</v>
      </c>
      <c r="B483" s="12" t="str">
        <f>VLOOKUP(A483,'US Employee Payroll Cleaned'!G:N,2,FALSE)</f>
        <v xml:space="preserve"> MOODY, PAUL A</v>
      </c>
      <c r="C483" s="61">
        <f>INDEX('US Employee Payroll Cleaned'!A:A,MATCH('Lookup Sheet'!A483,'US Employee Payroll Cleaned'!G:G,0))</f>
        <v>4766</v>
      </c>
      <c r="D483" s="56" t="str">
        <f>_xlfn.XLOOKUP(A483,'US Employee Payroll Cleaned'!G:G,'US Employee Payroll Cleaned'!H:H,"Not found")</f>
        <v xml:space="preserve"> MOODY, PAUL A</v>
      </c>
    </row>
    <row r="484" spans="1:4" x14ac:dyDescent="0.25">
      <c r="A484" s="21" t="s">
        <v>376</v>
      </c>
      <c r="B484" s="12" t="str">
        <f>VLOOKUP(A484,'US Employee Payroll Cleaned'!G:N,2,FALSE)</f>
        <v xml:space="preserve"> HILL, JANICE D</v>
      </c>
      <c r="C484" s="61">
        <f>INDEX('US Employee Payroll Cleaned'!A:A,MATCH('Lookup Sheet'!A484,'US Employee Payroll Cleaned'!G:G,0))</f>
        <v>4280.5</v>
      </c>
      <c r="D484" s="56" t="str">
        <f>_xlfn.XLOOKUP(A484,'US Employee Payroll Cleaned'!G:G,'US Employee Payroll Cleaned'!H:H,"Not found")</f>
        <v xml:space="preserve"> HILL, JANICE D</v>
      </c>
    </row>
    <row r="485" spans="1:4" x14ac:dyDescent="0.25">
      <c r="A485" s="21" t="s">
        <v>168</v>
      </c>
      <c r="B485" s="12" t="str">
        <f>VLOOKUP(A485,'US Employee Payroll Cleaned'!G:N,2,FALSE)</f>
        <v xml:space="preserve"> SCHMITZ, MATTHEW M</v>
      </c>
      <c r="C485" s="61">
        <f>INDEX('US Employee Payroll Cleaned'!A:A,MATCH('Lookup Sheet'!A485,'US Employee Payroll Cleaned'!G:G,0))</f>
        <v>5478</v>
      </c>
      <c r="D485" s="56" t="str">
        <f>_xlfn.XLOOKUP(A485,'US Employee Payroll Cleaned'!G:G,'US Employee Payroll Cleaned'!H:H,"Not found")</f>
        <v xml:space="preserve"> SCHMITZ, MATTHEW M</v>
      </c>
    </row>
    <row r="486" spans="1:4" x14ac:dyDescent="0.25">
      <c r="A486" s="21" t="s">
        <v>224</v>
      </c>
      <c r="B486" s="12" t="str">
        <f>VLOOKUP(A486,'US Employee Payroll Cleaned'!G:N,2,FALSE)</f>
        <v xml:space="preserve"> JOHNSON, AARON M</v>
      </c>
      <c r="C486" s="61">
        <f>INDEX('US Employee Payroll Cleaned'!A:A,MATCH('Lookup Sheet'!A486,'US Employee Payroll Cleaned'!G:G,0))</f>
        <v>4064.5</v>
      </c>
      <c r="D486" s="56" t="str">
        <f>_xlfn.XLOOKUP(A486,'US Employee Payroll Cleaned'!G:G,'US Employee Payroll Cleaned'!H:H,"Not found")</f>
        <v xml:space="preserve"> JOHNSON, AARON M</v>
      </c>
    </row>
    <row r="487" spans="1:4" x14ac:dyDescent="0.25">
      <c r="A487" s="21" t="s">
        <v>325</v>
      </c>
      <c r="B487" s="12" t="str">
        <f>VLOOKUP(A487,'US Employee Payroll Cleaned'!G:N,2,FALSE)</f>
        <v xml:space="preserve"> WINDMON, HEATHER E</v>
      </c>
      <c r="C487" s="61">
        <f>INDEX('US Employee Payroll Cleaned'!A:A,MATCH('Lookup Sheet'!A487,'US Employee Payroll Cleaned'!G:G,0))</f>
        <v>2206.5</v>
      </c>
      <c r="D487" s="56" t="str">
        <f>_xlfn.XLOOKUP(A487,'US Employee Payroll Cleaned'!G:G,'US Employee Payroll Cleaned'!H:H,"Not found")</f>
        <v xml:space="preserve"> WINDMON, HEATHER E</v>
      </c>
    </row>
    <row r="488" spans="1:4" x14ac:dyDescent="0.25">
      <c r="A488" s="51" t="s">
        <v>547</v>
      </c>
      <c r="B488" s="12" t="str">
        <f>VLOOKUP(A488,'US Employee Payroll Cleaned'!G:N,2,FALSE)</f>
        <v xml:space="preserve"> JONES, VONETTA W</v>
      </c>
      <c r="C488" s="61">
        <f>INDEX('US Employee Payroll Cleaned'!A:A,MATCH('Lookup Sheet'!A488,'US Employee Payroll Cleaned'!G:G,0))</f>
        <v>3398</v>
      </c>
      <c r="D488" s="56" t="str">
        <f>_xlfn.XLOOKUP(A488,'US Employee Payroll Cleaned'!G:G,'US Employee Payroll Cleaned'!H:H,"Not found")</f>
        <v xml:space="preserve"> JONES, VONETTA W</v>
      </c>
    </row>
    <row r="489" spans="1:4" x14ac:dyDescent="0.25">
      <c r="A489" s="51" t="s">
        <v>660</v>
      </c>
      <c r="B489" s="12" t="str">
        <f>VLOOKUP(A489,'US Employee Payroll Cleaned'!G:N,2,FALSE)</f>
        <v xml:space="preserve"> MAYFIELD, ALEXIS S</v>
      </c>
      <c r="C489" s="61">
        <f>INDEX('US Employee Payroll Cleaned'!A:A,MATCH('Lookup Sheet'!A489,'US Employee Payroll Cleaned'!G:G,0))</f>
        <v>2783.5</v>
      </c>
      <c r="D489" s="56" t="str">
        <f>_xlfn.XLOOKUP(A489,'US Employee Payroll Cleaned'!G:G,'US Employee Payroll Cleaned'!H:H,"Not found")</f>
        <v xml:space="preserve"> MAYFIELD, ALEXIS S</v>
      </c>
    </row>
    <row r="490" spans="1:4" x14ac:dyDescent="0.25">
      <c r="A490" s="21" t="s">
        <v>416</v>
      </c>
      <c r="B490" s="12" t="str">
        <f>VLOOKUP(A490,'US Employee Payroll Cleaned'!G:N,2,FALSE)</f>
        <v xml:space="preserve"> O'BRIEN, JACK F</v>
      </c>
      <c r="C490" s="61">
        <f>INDEX('US Employee Payroll Cleaned'!A:A,MATCH('Lookup Sheet'!A490,'US Employee Payroll Cleaned'!G:G,0))</f>
        <v>365.75</v>
      </c>
      <c r="D490" s="56" t="str">
        <f>_xlfn.XLOOKUP(A490,'US Employee Payroll Cleaned'!G:G,'US Employee Payroll Cleaned'!H:H,"Not found")</f>
        <v xml:space="preserve"> O'BRIEN, JACK F</v>
      </c>
    </row>
    <row r="491" spans="1:4" x14ac:dyDescent="0.25">
      <c r="A491" s="21" t="s">
        <v>69</v>
      </c>
      <c r="B491" s="12" t="str">
        <f>VLOOKUP(A491,'US Employee Payroll Cleaned'!G:N,2,FALSE)</f>
        <v xml:space="preserve"> BUDNIK, ALESSANDRA C</v>
      </c>
      <c r="C491" s="61">
        <f>INDEX('US Employee Payroll Cleaned'!A:A,MATCH('Lookup Sheet'!A491,'US Employee Payroll Cleaned'!G:G,0))</f>
        <v>5212</v>
      </c>
      <c r="D491" s="56" t="str">
        <f>_xlfn.XLOOKUP(A491,'US Employee Payroll Cleaned'!G:G,'US Employee Payroll Cleaned'!H:H,"Not found")</f>
        <v xml:space="preserve"> BUDNIK, ALESSANDRA C</v>
      </c>
    </row>
    <row r="492" spans="1:4" x14ac:dyDescent="0.25">
      <c r="A492" s="21" t="s">
        <v>513</v>
      </c>
      <c r="B492" s="12" t="str">
        <f>VLOOKUP(A492,'US Employee Payroll Cleaned'!G:N,2,FALSE)</f>
        <v xml:space="preserve"> ROSCHEN, MARK E</v>
      </c>
      <c r="C492" s="61">
        <f>INDEX('US Employee Payroll Cleaned'!A:A,MATCH('Lookup Sheet'!A492,'US Employee Payroll Cleaned'!G:G,0))</f>
        <v>4534</v>
      </c>
      <c r="D492" s="56" t="str">
        <f>_xlfn.XLOOKUP(A492,'US Employee Payroll Cleaned'!G:G,'US Employee Payroll Cleaned'!H:H,"Not found")</f>
        <v xml:space="preserve"> ROSCHEN, MARK E</v>
      </c>
    </row>
    <row r="493" spans="1:4" x14ac:dyDescent="0.25">
      <c r="A493" s="21" t="s">
        <v>340</v>
      </c>
      <c r="B493" s="12" t="str">
        <f>VLOOKUP(A493,'US Employee Payroll Cleaned'!G:N,2,FALSE)</f>
        <v xml:space="preserve"> GAETA, JOSE O</v>
      </c>
      <c r="C493" s="61">
        <f>INDEX('US Employee Payroll Cleaned'!A:A,MATCH('Lookup Sheet'!A493,'US Employee Payroll Cleaned'!G:G,0))</f>
        <v>4541.5</v>
      </c>
      <c r="D493" s="56" t="str">
        <f>_xlfn.XLOOKUP(A493,'US Employee Payroll Cleaned'!G:G,'US Employee Payroll Cleaned'!H:H,"Not found")</f>
        <v xml:space="preserve"> GAETA, JOSE O</v>
      </c>
    </row>
    <row r="494" spans="1:4" x14ac:dyDescent="0.25">
      <c r="A494" s="21" t="s">
        <v>1276</v>
      </c>
      <c r="B494" s="12" t="str">
        <f>VLOOKUP(A494,'US Employee Payroll Cleaned'!G:N,2,FALSE)</f>
        <v xml:space="preserve"> MARTINEZ, CARMEN M</v>
      </c>
      <c r="C494" s="61">
        <f>INDEX('US Employee Payroll Cleaned'!A:A,MATCH('Lookup Sheet'!A494,'US Employee Payroll Cleaned'!G:G,0))</f>
        <v>3875</v>
      </c>
      <c r="D494" s="56" t="str">
        <f>_xlfn.XLOOKUP(A494,'US Employee Payroll Cleaned'!G:G,'US Employee Payroll Cleaned'!H:H,"Not found")</f>
        <v xml:space="preserve"> MARTINEZ, CARMEN M</v>
      </c>
    </row>
    <row r="495" spans="1:4" x14ac:dyDescent="0.25">
      <c r="A495" s="21" t="s">
        <v>105</v>
      </c>
      <c r="B495" s="12" t="str">
        <f>VLOOKUP(A495,'US Employee Payroll Cleaned'!G:N,2,FALSE)</f>
        <v xml:space="preserve"> THOMPSON, TAYLOR J</v>
      </c>
      <c r="C495" s="61">
        <f>INDEX('US Employee Payroll Cleaned'!A:A,MATCH('Lookup Sheet'!A495,'US Employee Payroll Cleaned'!G:G,0))</f>
        <v>2708</v>
      </c>
      <c r="D495" s="56" t="str">
        <f>_xlfn.XLOOKUP(A495,'US Employee Payroll Cleaned'!G:G,'US Employee Payroll Cleaned'!H:H,"Not found")</f>
        <v xml:space="preserve"> THOMPSON, TAYLOR J</v>
      </c>
    </row>
    <row r="496" spans="1:4" x14ac:dyDescent="0.25">
      <c r="A496" s="21" t="s">
        <v>218</v>
      </c>
      <c r="B496" s="12" t="str">
        <f>VLOOKUP(A496,'US Employee Payroll Cleaned'!G:N,2,FALSE)</f>
        <v xml:space="preserve"> MUHAMMAD, FARIDUDDIN M</v>
      </c>
      <c r="C496" s="61">
        <f>INDEX('US Employee Payroll Cleaned'!A:A,MATCH('Lookup Sheet'!A496,'US Employee Payroll Cleaned'!G:G,0))</f>
        <v>3245.5</v>
      </c>
      <c r="D496" s="56" t="str">
        <f>_xlfn.XLOOKUP(A496,'US Employee Payroll Cleaned'!G:G,'US Employee Payroll Cleaned'!H:H,"Not found")</f>
        <v xml:space="preserve"> MUHAMMAD, FARIDUDDIN M</v>
      </c>
    </row>
    <row r="497" spans="1:4" x14ac:dyDescent="0.25">
      <c r="A497" s="21" t="s">
        <v>1170</v>
      </c>
      <c r="B497" s="12" t="str">
        <f>VLOOKUP(A497,'US Employee Payroll Cleaned'!G:N,2,FALSE)</f>
        <v xml:space="preserve"> LOERA JR, ELISEO</v>
      </c>
      <c r="C497" s="61">
        <f>INDEX('US Employee Payroll Cleaned'!A:A,MATCH('Lookup Sheet'!A497,'US Employee Payroll Cleaned'!G:G,0))</f>
        <v>3467</v>
      </c>
      <c r="D497" s="56" t="str">
        <f>_xlfn.XLOOKUP(A497,'US Employee Payroll Cleaned'!G:G,'US Employee Payroll Cleaned'!H:H,"Not found")</f>
        <v xml:space="preserve"> LOERA JR, ELISEO</v>
      </c>
    </row>
    <row r="498" spans="1:4" x14ac:dyDescent="0.25">
      <c r="A498" s="21" t="s">
        <v>258</v>
      </c>
      <c r="B498" s="12" t="str">
        <f>VLOOKUP(A498,'US Employee Payroll Cleaned'!G:N,2,FALSE)</f>
        <v xml:space="preserve"> MUNGIN, WHITNI E</v>
      </c>
      <c r="C498" s="61">
        <f>INDEX('US Employee Payroll Cleaned'!A:A,MATCH('Lookup Sheet'!A498,'US Employee Payroll Cleaned'!G:G,0))</f>
        <v>4229.5</v>
      </c>
      <c r="D498" s="56" t="str">
        <f>_xlfn.XLOOKUP(A498,'US Employee Payroll Cleaned'!G:G,'US Employee Payroll Cleaned'!H:H,"Not found")</f>
        <v xml:space="preserve"> MUNGIN, WHITNI E</v>
      </c>
    </row>
    <row r="499" spans="1:4" x14ac:dyDescent="0.25">
      <c r="A499" s="21" t="s">
        <v>93</v>
      </c>
      <c r="B499" s="12" t="str">
        <f>VLOOKUP(A499,'US Employee Payroll Cleaned'!G:N,2,FALSE)</f>
        <v xml:space="preserve"> NELSON, GABRIELLA M</v>
      </c>
      <c r="C499" s="61">
        <f>INDEX('US Employee Payroll Cleaned'!A:A,MATCH('Lookup Sheet'!A499,'US Employee Payroll Cleaned'!G:G,0))</f>
        <v>3607.5</v>
      </c>
      <c r="D499" s="56" t="str">
        <f>_xlfn.XLOOKUP(A499,'US Employee Payroll Cleaned'!G:G,'US Employee Payroll Cleaned'!H:H,"Not found")</f>
        <v xml:space="preserve"> NELSON, GABRIELLA M</v>
      </c>
    </row>
    <row r="500" spans="1:4" ht="15.75" thickBot="1" x14ac:dyDescent="0.3">
      <c r="A500" s="23" t="s">
        <v>1361</v>
      </c>
      <c r="B500" s="57" t="str">
        <f>VLOOKUP(A500,'US Employee Payroll Cleaned'!G:N,2,FALSE)</f>
        <v xml:space="preserve"> TOMBARI, EDWARD A</v>
      </c>
      <c r="C500" s="62">
        <f>INDEX('US Employee Payroll Cleaned'!A:A,MATCH('Lookup Sheet'!A500,'US Employee Payroll Cleaned'!G:G,0))</f>
        <v>2140.36</v>
      </c>
      <c r="D500" s="58" t="str">
        <f>_xlfn.XLOOKUP(A500,'US Employee Payroll Cleaned'!G:G,'US Employee Payroll Cleaned'!H:H,"Not found")</f>
        <v xml:space="preserve"> TOMBARI, EDWARD A</v>
      </c>
    </row>
    <row r="544" spans="1:1" x14ac:dyDescent="0.25">
      <c r="A544" s="6"/>
    </row>
    <row r="578" spans="1:1" x14ac:dyDescent="0.25">
      <c r="A578" s="6"/>
    </row>
    <row r="638" spans="1:1" x14ac:dyDescent="0.25">
      <c r="A638" s="6"/>
    </row>
    <row r="688" spans="1:1" x14ac:dyDescent="0.25">
      <c r="A688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3397-2528-4093-8C10-1BDA050E5F99}">
  <dimension ref="A3:B24"/>
  <sheetViews>
    <sheetView workbookViewId="0">
      <selection activeCell="A24" sqref="A24"/>
    </sheetView>
  </sheetViews>
  <sheetFormatPr defaultRowHeight="15" x14ac:dyDescent="0.25"/>
  <cols>
    <col min="1" max="1" width="56.42578125" bestFit="1" customWidth="1"/>
    <col min="2" max="2" width="16.140625" bestFit="1" customWidth="1"/>
  </cols>
  <sheetData>
    <row r="3" spans="1:2" x14ac:dyDescent="0.25">
      <c r="A3" s="9" t="s">
        <v>1565</v>
      </c>
      <c r="B3" t="s">
        <v>1567</v>
      </c>
    </row>
    <row r="4" spans="1:2" x14ac:dyDescent="0.25">
      <c r="A4" s="4" t="s">
        <v>86</v>
      </c>
      <c r="B4" s="10">
        <v>389719.67</v>
      </c>
    </row>
    <row r="5" spans="1:2" x14ac:dyDescent="0.25">
      <c r="A5" s="4" t="s">
        <v>1050</v>
      </c>
      <c r="B5" s="10">
        <v>7571.5</v>
      </c>
    </row>
    <row r="6" spans="1:2" x14ac:dyDescent="0.25">
      <c r="A6" s="4" t="s">
        <v>668</v>
      </c>
      <c r="B6" s="10">
        <v>3316.5899999999997</v>
      </c>
    </row>
    <row r="7" spans="1:2" x14ac:dyDescent="0.25">
      <c r="A7" s="4" t="s">
        <v>780</v>
      </c>
      <c r="B7" s="10">
        <v>180.08</v>
      </c>
    </row>
    <row r="8" spans="1:2" x14ac:dyDescent="0.25">
      <c r="A8" s="4" t="s">
        <v>21</v>
      </c>
      <c r="B8" s="10">
        <v>1187060.1500000001</v>
      </c>
    </row>
    <row r="9" spans="1:2" x14ac:dyDescent="0.25">
      <c r="A9" s="4" t="s">
        <v>124</v>
      </c>
      <c r="B9" s="10">
        <v>101874.78</v>
      </c>
    </row>
    <row r="10" spans="1:2" x14ac:dyDescent="0.25">
      <c r="A10" s="4" t="s">
        <v>790</v>
      </c>
      <c r="B10" s="10">
        <v>5416.08</v>
      </c>
    </row>
    <row r="11" spans="1:2" x14ac:dyDescent="0.25">
      <c r="A11" s="4" t="s">
        <v>274</v>
      </c>
      <c r="B11" s="10">
        <v>20075.580000000005</v>
      </c>
    </row>
    <row r="12" spans="1:2" x14ac:dyDescent="0.25">
      <c r="A12" s="4" t="s">
        <v>769</v>
      </c>
      <c r="B12" s="10">
        <v>769.44</v>
      </c>
    </row>
    <row r="13" spans="1:2" x14ac:dyDescent="0.25">
      <c r="A13" s="4" t="s">
        <v>1014</v>
      </c>
      <c r="B13" s="10">
        <v>1934</v>
      </c>
    </row>
    <row r="14" spans="1:2" x14ac:dyDescent="0.25">
      <c r="A14" s="4" t="s">
        <v>842</v>
      </c>
      <c r="B14" s="10">
        <v>6530.21</v>
      </c>
    </row>
    <row r="15" spans="1:2" x14ac:dyDescent="0.25">
      <c r="A15" s="4" t="s">
        <v>746</v>
      </c>
      <c r="B15" s="10">
        <v>10964.9</v>
      </c>
    </row>
    <row r="16" spans="1:2" x14ac:dyDescent="0.25">
      <c r="A16" s="4" t="s">
        <v>735</v>
      </c>
      <c r="B16" s="10">
        <v>1068.1300000000001</v>
      </c>
    </row>
    <row r="17" spans="1:2" x14ac:dyDescent="0.25">
      <c r="A17" s="4" t="s">
        <v>809</v>
      </c>
      <c r="B17" s="10">
        <v>6034.9400000000005</v>
      </c>
    </row>
    <row r="18" spans="1:2" x14ac:dyDescent="0.25">
      <c r="A18" s="4" t="s">
        <v>757</v>
      </c>
      <c r="B18" s="10">
        <v>1713.96</v>
      </c>
    </row>
    <row r="19" spans="1:2" x14ac:dyDescent="0.25">
      <c r="A19" s="4" t="s">
        <v>1566</v>
      </c>
      <c r="B19" s="10">
        <v>1744230.01</v>
      </c>
    </row>
    <row r="24" spans="1:2" x14ac:dyDescent="0.25">
      <c r="A24" s="11" t="s">
        <v>1568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FD1C-7836-46DD-8AB7-320A90552EEE}">
  <dimension ref="A1:E89"/>
  <sheetViews>
    <sheetView topLeftCell="A7" workbookViewId="0">
      <selection activeCell="D1" sqref="D1:E2"/>
    </sheetView>
  </sheetViews>
  <sheetFormatPr defaultRowHeight="15" x14ac:dyDescent="0.25"/>
  <cols>
    <col min="1" max="1" width="52.140625" bestFit="1" customWidth="1"/>
    <col min="2" max="2" width="15.85546875" bestFit="1" customWidth="1"/>
    <col min="4" max="4" width="13.140625" bestFit="1" customWidth="1"/>
    <col min="5" max="5" width="16.140625" bestFit="1" customWidth="1"/>
  </cols>
  <sheetData>
    <row r="1" spans="1:5" x14ac:dyDescent="0.25">
      <c r="A1" s="25" t="s">
        <v>1569</v>
      </c>
      <c r="B1" s="26"/>
      <c r="D1" s="25" t="s">
        <v>1570</v>
      </c>
      <c r="E1" s="26"/>
    </row>
    <row r="2" spans="1:5" ht="15.75" thickBot="1" x14ac:dyDescent="0.3">
      <c r="A2" s="27"/>
      <c r="B2" s="28"/>
      <c r="D2" s="27"/>
      <c r="E2" s="28"/>
    </row>
    <row r="3" spans="1:5" x14ac:dyDescent="0.25">
      <c r="A3" s="68" t="s">
        <v>1565</v>
      </c>
      <c r="B3" s="42" t="s">
        <v>1567</v>
      </c>
      <c r="D3" s="15" t="s">
        <v>1565</v>
      </c>
      <c r="E3" s="16" t="s">
        <v>1567</v>
      </c>
    </row>
    <row r="4" spans="1:5" x14ac:dyDescent="0.25">
      <c r="A4" s="12" t="s">
        <v>23</v>
      </c>
      <c r="B4" s="13">
        <v>20989.5</v>
      </c>
      <c r="D4" s="14">
        <v>1</v>
      </c>
      <c r="E4" s="13">
        <v>164702.78000000003</v>
      </c>
    </row>
    <row r="5" spans="1:5" x14ac:dyDescent="0.25">
      <c r="A5" s="12" t="s">
        <v>781</v>
      </c>
      <c r="B5" s="13">
        <v>180.08</v>
      </c>
      <c r="D5" s="14">
        <v>2</v>
      </c>
      <c r="E5" s="13">
        <v>135711.87</v>
      </c>
    </row>
    <row r="6" spans="1:5" x14ac:dyDescent="0.25">
      <c r="A6" s="12" t="s">
        <v>1107</v>
      </c>
      <c r="B6" s="13">
        <v>9318</v>
      </c>
      <c r="D6" s="14">
        <v>3</v>
      </c>
      <c r="E6" s="13">
        <v>137388.97</v>
      </c>
    </row>
    <row r="7" spans="1:5" x14ac:dyDescent="0.25">
      <c r="A7" s="12" t="s">
        <v>68</v>
      </c>
      <c r="B7" s="13">
        <v>15825.5</v>
      </c>
      <c r="D7" s="14">
        <v>4</v>
      </c>
      <c r="E7" s="13">
        <v>161100.6</v>
      </c>
    </row>
    <row r="8" spans="1:5" x14ac:dyDescent="0.25">
      <c r="A8" s="12" t="s">
        <v>33</v>
      </c>
      <c r="B8" s="13">
        <v>21831.98</v>
      </c>
      <c r="D8" s="14">
        <v>5</v>
      </c>
      <c r="E8" s="13">
        <v>139924.49</v>
      </c>
    </row>
    <row r="9" spans="1:5" x14ac:dyDescent="0.25">
      <c r="A9" s="12" t="s">
        <v>471</v>
      </c>
      <c r="B9" s="13">
        <v>19906</v>
      </c>
      <c r="D9" s="14">
        <v>6</v>
      </c>
      <c r="E9" s="13">
        <v>171131.23</v>
      </c>
    </row>
    <row r="10" spans="1:5" x14ac:dyDescent="0.25">
      <c r="A10" s="12" t="s">
        <v>201</v>
      </c>
      <c r="B10" s="13">
        <v>28928</v>
      </c>
      <c r="D10" s="14">
        <v>7</v>
      </c>
      <c r="E10" s="13">
        <v>153431.6</v>
      </c>
    </row>
    <row r="11" spans="1:5" x14ac:dyDescent="0.25">
      <c r="A11" s="12" t="s">
        <v>223</v>
      </c>
      <c r="B11" s="13">
        <v>150476</v>
      </c>
      <c r="D11" s="14">
        <v>8</v>
      </c>
      <c r="E11" s="13">
        <v>141417.22000000003</v>
      </c>
    </row>
    <row r="12" spans="1:5" x14ac:dyDescent="0.25">
      <c r="A12" s="12" t="s">
        <v>61</v>
      </c>
      <c r="B12" s="13">
        <v>116162.13</v>
      </c>
      <c r="D12" s="14">
        <v>9</v>
      </c>
      <c r="E12" s="13">
        <v>170354.97</v>
      </c>
    </row>
    <row r="13" spans="1:5" x14ac:dyDescent="0.25">
      <c r="A13" s="12" t="s">
        <v>207</v>
      </c>
      <c r="B13" s="13">
        <v>5212</v>
      </c>
      <c r="D13" s="14">
        <v>10</v>
      </c>
      <c r="E13" s="13">
        <v>125120.69</v>
      </c>
    </row>
    <row r="14" spans="1:5" x14ac:dyDescent="0.25">
      <c r="A14" s="12" t="s">
        <v>324</v>
      </c>
      <c r="B14" s="13">
        <v>8654.11</v>
      </c>
      <c r="D14" s="14">
        <v>11</v>
      </c>
      <c r="E14" s="13">
        <v>119692.36</v>
      </c>
    </row>
    <row r="15" spans="1:5" x14ac:dyDescent="0.25">
      <c r="A15" s="12" t="s">
        <v>145</v>
      </c>
      <c r="B15" s="13">
        <v>25002.5</v>
      </c>
      <c r="D15" s="14">
        <v>12</v>
      </c>
      <c r="E15" s="13">
        <v>32543.739999999998</v>
      </c>
    </row>
    <row r="16" spans="1:5" x14ac:dyDescent="0.25">
      <c r="A16" s="12" t="s">
        <v>186</v>
      </c>
      <c r="B16" s="13">
        <v>10148.6</v>
      </c>
      <c r="D16" s="14">
        <v>13</v>
      </c>
      <c r="E16" s="13">
        <v>1036.3599999999999</v>
      </c>
    </row>
    <row r="17" spans="1:5" x14ac:dyDescent="0.25">
      <c r="A17" s="12" t="s">
        <v>883</v>
      </c>
      <c r="B17" s="13">
        <v>3437.5</v>
      </c>
      <c r="D17" s="14">
        <v>14</v>
      </c>
      <c r="E17" s="13">
        <v>14095.25</v>
      </c>
    </row>
    <row r="18" spans="1:5" x14ac:dyDescent="0.25">
      <c r="A18" s="12" t="s">
        <v>758</v>
      </c>
      <c r="B18" s="13">
        <v>1036.3599999999999</v>
      </c>
      <c r="D18" s="14">
        <v>15</v>
      </c>
      <c r="E18" s="13">
        <v>17077</v>
      </c>
    </row>
    <row r="19" spans="1:5" x14ac:dyDescent="0.25">
      <c r="A19" s="12" t="s">
        <v>989</v>
      </c>
      <c r="B19" s="13">
        <v>677.6</v>
      </c>
      <c r="D19" s="14">
        <v>16</v>
      </c>
      <c r="E19" s="13">
        <v>12125.03</v>
      </c>
    </row>
    <row r="20" spans="1:5" x14ac:dyDescent="0.25">
      <c r="A20" s="12" t="s">
        <v>1243</v>
      </c>
      <c r="B20" s="13">
        <v>13669.62</v>
      </c>
      <c r="D20" s="14">
        <v>17</v>
      </c>
      <c r="E20" s="13">
        <v>8668.7899999999991</v>
      </c>
    </row>
    <row r="21" spans="1:5" x14ac:dyDescent="0.25">
      <c r="A21" s="12" t="s">
        <v>501</v>
      </c>
      <c r="B21" s="13">
        <v>18318</v>
      </c>
      <c r="D21" s="14">
        <v>18</v>
      </c>
      <c r="E21" s="13">
        <v>5795.33</v>
      </c>
    </row>
    <row r="22" spans="1:5" x14ac:dyDescent="0.25">
      <c r="A22" s="12" t="s">
        <v>334</v>
      </c>
      <c r="B22" s="13">
        <v>8159</v>
      </c>
      <c r="D22" s="14">
        <v>19</v>
      </c>
      <c r="E22" s="13">
        <v>14601</v>
      </c>
    </row>
    <row r="23" spans="1:5" x14ac:dyDescent="0.25">
      <c r="A23" s="12" t="s">
        <v>174</v>
      </c>
      <c r="B23" s="13">
        <v>12555</v>
      </c>
      <c r="D23" s="14">
        <v>21</v>
      </c>
      <c r="E23" s="13">
        <v>786.94</v>
      </c>
    </row>
    <row r="24" spans="1:5" x14ac:dyDescent="0.25">
      <c r="A24" s="12" t="s">
        <v>1082</v>
      </c>
      <c r="B24" s="13">
        <v>3347.5</v>
      </c>
      <c r="D24" s="14">
        <v>22</v>
      </c>
      <c r="E24" s="13">
        <v>9397.25</v>
      </c>
    </row>
    <row r="25" spans="1:5" x14ac:dyDescent="0.25">
      <c r="A25" s="12" t="s">
        <v>1208</v>
      </c>
      <c r="B25" s="13">
        <v>9344</v>
      </c>
      <c r="D25" s="14">
        <v>23</v>
      </c>
      <c r="E25" s="13">
        <v>3347.5</v>
      </c>
    </row>
    <row r="26" spans="1:5" x14ac:dyDescent="0.25">
      <c r="A26" s="12" t="s">
        <v>303</v>
      </c>
      <c r="B26" s="13">
        <v>13822.5</v>
      </c>
      <c r="D26" s="14">
        <v>24</v>
      </c>
      <c r="E26" s="13">
        <v>4779.04</v>
      </c>
    </row>
    <row r="27" spans="1:5" x14ac:dyDescent="0.25">
      <c r="A27" s="12" t="s">
        <v>267</v>
      </c>
      <c r="B27" s="13">
        <v>32739</v>
      </c>
      <c r="D27" s="14" t="s">
        <v>1566</v>
      </c>
      <c r="E27" s="13">
        <v>1744230.0100000002</v>
      </c>
    </row>
    <row r="28" spans="1:5" x14ac:dyDescent="0.25">
      <c r="A28" s="12" t="s">
        <v>75</v>
      </c>
      <c r="B28" s="13">
        <v>128566.86</v>
      </c>
    </row>
    <row r="29" spans="1:5" x14ac:dyDescent="0.25">
      <c r="A29" s="12" t="s">
        <v>239</v>
      </c>
      <c r="B29" s="13">
        <v>10424</v>
      </c>
    </row>
    <row r="30" spans="1:5" x14ac:dyDescent="0.25">
      <c r="A30" s="12" t="s">
        <v>282</v>
      </c>
      <c r="B30" s="13">
        <v>10882</v>
      </c>
    </row>
    <row r="31" spans="1:5" x14ac:dyDescent="0.25">
      <c r="A31" s="12" t="s">
        <v>1302</v>
      </c>
      <c r="B31" s="13">
        <v>4330</v>
      </c>
    </row>
    <row r="32" spans="1:5" x14ac:dyDescent="0.25">
      <c r="A32" s="12" t="s">
        <v>1199</v>
      </c>
      <c r="B32" s="13">
        <v>3754.5</v>
      </c>
    </row>
    <row r="33" spans="1:2" x14ac:dyDescent="0.25">
      <c r="A33" s="12" t="s">
        <v>39</v>
      </c>
      <c r="B33" s="13">
        <v>133222.20000000001</v>
      </c>
    </row>
    <row r="34" spans="1:2" x14ac:dyDescent="0.25">
      <c r="A34" s="12" t="s">
        <v>516</v>
      </c>
      <c r="B34" s="13">
        <v>9660.5</v>
      </c>
    </row>
    <row r="35" spans="1:2" x14ac:dyDescent="0.25">
      <c r="A35" s="12" t="s">
        <v>682</v>
      </c>
      <c r="B35" s="13">
        <v>25442</v>
      </c>
    </row>
    <row r="36" spans="1:2" x14ac:dyDescent="0.25">
      <c r="A36" s="12" t="s">
        <v>92</v>
      </c>
      <c r="B36" s="13">
        <v>29535</v>
      </c>
    </row>
    <row r="37" spans="1:2" x14ac:dyDescent="0.25">
      <c r="A37" s="12" t="s">
        <v>298</v>
      </c>
      <c r="B37" s="13">
        <v>37472</v>
      </c>
    </row>
    <row r="38" spans="1:2" x14ac:dyDescent="0.25">
      <c r="A38" s="12" t="s">
        <v>314</v>
      </c>
      <c r="B38" s="13">
        <v>58288</v>
      </c>
    </row>
    <row r="39" spans="1:2" x14ac:dyDescent="0.25">
      <c r="A39" s="12" t="s">
        <v>1074</v>
      </c>
      <c r="B39" s="13">
        <v>4982.5</v>
      </c>
    </row>
    <row r="40" spans="1:2" x14ac:dyDescent="0.25">
      <c r="A40" s="12" t="s">
        <v>104</v>
      </c>
      <c r="B40" s="13">
        <v>47589.5</v>
      </c>
    </row>
    <row r="41" spans="1:2" x14ac:dyDescent="0.25">
      <c r="A41" s="12" t="s">
        <v>152</v>
      </c>
      <c r="B41" s="13">
        <v>95602.55</v>
      </c>
    </row>
    <row r="42" spans="1:2" x14ac:dyDescent="0.25">
      <c r="A42" s="12" t="s">
        <v>217</v>
      </c>
      <c r="B42" s="13">
        <v>13287</v>
      </c>
    </row>
    <row r="43" spans="1:2" x14ac:dyDescent="0.25">
      <c r="A43" s="12" t="s">
        <v>110</v>
      </c>
      <c r="B43" s="13">
        <v>25856.11</v>
      </c>
    </row>
    <row r="44" spans="1:2" x14ac:dyDescent="0.25">
      <c r="A44" s="12" t="s">
        <v>770</v>
      </c>
      <c r="B44" s="13">
        <v>769.44</v>
      </c>
    </row>
    <row r="45" spans="1:2" x14ac:dyDescent="0.25">
      <c r="A45" s="12" t="s">
        <v>98</v>
      </c>
      <c r="B45" s="13">
        <v>28596</v>
      </c>
    </row>
    <row r="46" spans="1:2" x14ac:dyDescent="0.25">
      <c r="A46" s="12" t="s">
        <v>693</v>
      </c>
      <c r="B46" s="13">
        <v>-237.79</v>
      </c>
    </row>
    <row r="47" spans="1:2" x14ac:dyDescent="0.25">
      <c r="A47" s="12" t="s">
        <v>382</v>
      </c>
      <c r="B47" s="13">
        <v>22757</v>
      </c>
    </row>
    <row r="48" spans="1:2" x14ac:dyDescent="0.25">
      <c r="A48" s="12" t="s">
        <v>1015</v>
      </c>
      <c r="B48" s="13">
        <v>1934</v>
      </c>
    </row>
    <row r="49" spans="1:2" x14ac:dyDescent="0.25">
      <c r="A49" s="12" t="s">
        <v>736</v>
      </c>
      <c r="B49" s="13">
        <v>235.8</v>
      </c>
    </row>
    <row r="50" spans="1:2" x14ac:dyDescent="0.25">
      <c r="A50" s="12" t="s">
        <v>995</v>
      </c>
      <c r="B50" s="13">
        <v>88</v>
      </c>
    </row>
    <row r="51" spans="1:2" x14ac:dyDescent="0.25">
      <c r="A51" s="12" t="s">
        <v>49</v>
      </c>
      <c r="B51" s="13">
        <v>42307</v>
      </c>
    </row>
    <row r="52" spans="1:2" x14ac:dyDescent="0.25">
      <c r="A52" s="12" t="s">
        <v>596</v>
      </c>
      <c r="B52" s="13">
        <v>15264</v>
      </c>
    </row>
    <row r="53" spans="1:2" x14ac:dyDescent="0.25">
      <c r="A53" s="12" t="s">
        <v>116</v>
      </c>
      <c r="B53" s="13">
        <v>12814.5</v>
      </c>
    </row>
    <row r="54" spans="1:2" x14ac:dyDescent="0.25">
      <c r="A54" s="12" t="s">
        <v>55</v>
      </c>
      <c r="B54" s="13">
        <v>12822</v>
      </c>
    </row>
    <row r="55" spans="1:2" x14ac:dyDescent="0.25">
      <c r="A55" s="12" t="s">
        <v>870</v>
      </c>
      <c r="B55" s="13">
        <v>3857.28</v>
      </c>
    </row>
    <row r="56" spans="1:2" x14ac:dyDescent="0.25">
      <c r="A56" s="12" t="s">
        <v>669</v>
      </c>
      <c r="B56" s="13">
        <v>2004</v>
      </c>
    </row>
    <row r="57" spans="1:2" x14ac:dyDescent="0.25">
      <c r="A57" s="12" t="s">
        <v>921</v>
      </c>
      <c r="B57" s="13">
        <v>912.24</v>
      </c>
    </row>
    <row r="58" spans="1:2" x14ac:dyDescent="0.25">
      <c r="A58" s="12" t="s">
        <v>851</v>
      </c>
      <c r="B58" s="13">
        <v>832.33</v>
      </c>
    </row>
    <row r="59" spans="1:2" x14ac:dyDescent="0.25">
      <c r="A59" s="12" t="s">
        <v>1269</v>
      </c>
      <c r="B59" s="13">
        <v>400.35</v>
      </c>
    </row>
    <row r="60" spans="1:2" x14ac:dyDescent="0.25">
      <c r="A60" s="12" t="s">
        <v>1008</v>
      </c>
      <c r="B60" s="13">
        <v>883.13</v>
      </c>
    </row>
    <row r="61" spans="1:2" x14ac:dyDescent="0.25">
      <c r="A61" s="12" t="s">
        <v>843</v>
      </c>
      <c r="B61" s="13">
        <v>1789.8</v>
      </c>
    </row>
    <row r="62" spans="1:2" x14ac:dyDescent="0.25">
      <c r="A62" s="12" t="s">
        <v>1051</v>
      </c>
      <c r="B62" s="13">
        <v>2589</v>
      </c>
    </row>
    <row r="63" spans="1:2" x14ac:dyDescent="0.25">
      <c r="A63" s="12" t="s">
        <v>810</v>
      </c>
      <c r="B63" s="13">
        <v>628.22</v>
      </c>
    </row>
    <row r="64" spans="1:2" x14ac:dyDescent="0.25">
      <c r="A64" s="12" t="s">
        <v>937</v>
      </c>
      <c r="B64" s="13">
        <v>3644.16</v>
      </c>
    </row>
    <row r="65" spans="1:2" x14ac:dyDescent="0.25">
      <c r="A65" s="12" t="s">
        <v>831</v>
      </c>
      <c r="B65" s="13">
        <v>187.2</v>
      </c>
    </row>
    <row r="66" spans="1:2" x14ac:dyDescent="0.25">
      <c r="A66" s="12" t="s">
        <v>791</v>
      </c>
      <c r="B66" s="13">
        <v>4893.4799999999996</v>
      </c>
    </row>
    <row r="67" spans="1:2" x14ac:dyDescent="0.25">
      <c r="A67" s="12" t="s">
        <v>1058</v>
      </c>
      <c r="B67" s="13">
        <v>522.6</v>
      </c>
    </row>
    <row r="68" spans="1:2" x14ac:dyDescent="0.25">
      <c r="A68" s="12" t="s">
        <v>959</v>
      </c>
      <c r="B68" s="13">
        <v>2357.9899999999998</v>
      </c>
    </row>
    <row r="69" spans="1:2" x14ac:dyDescent="0.25">
      <c r="A69" s="12" t="s">
        <v>1035</v>
      </c>
      <c r="B69" s="13">
        <v>484.1</v>
      </c>
    </row>
    <row r="70" spans="1:2" x14ac:dyDescent="0.25">
      <c r="A70" s="12" t="s">
        <v>275</v>
      </c>
      <c r="B70" s="13">
        <v>7306.9000000000005</v>
      </c>
    </row>
    <row r="71" spans="1:2" x14ac:dyDescent="0.25">
      <c r="A71" s="12" t="s">
        <v>800</v>
      </c>
      <c r="B71" s="13">
        <v>1101.92</v>
      </c>
    </row>
    <row r="72" spans="1:2" x14ac:dyDescent="0.25">
      <c r="A72" s="12" t="s">
        <v>972</v>
      </c>
      <c r="B72" s="13">
        <v>8824.67</v>
      </c>
    </row>
    <row r="73" spans="1:2" x14ac:dyDescent="0.25">
      <c r="A73" s="12" t="s">
        <v>135</v>
      </c>
      <c r="B73" s="13">
        <v>51621.140000000007</v>
      </c>
    </row>
    <row r="74" spans="1:2" x14ac:dyDescent="0.25">
      <c r="A74" s="12" t="s">
        <v>1064</v>
      </c>
      <c r="B74" s="13">
        <v>4287.75</v>
      </c>
    </row>
    <row r="75" spans="1:2" x14ac:dyDescent="0.25">
      <c r="A75" s="12" t="s">
        <v>707</v>
      </c>
      <c r="B75" s="13">
        <v>24647</v>
      </c>
    </row>
    <row r="76" spans="1:2" x14ac:dyDescent="0.25">
      <c r="A76" s="12" t="s">
        <v>819</v>
      </c>
      <c r="B76" s="13">
        <v>11345.92</v>
      </c>
    </row>
    <row r="77" spans="1:2" x14ac:dyDescent="0.25">
      <c r="A77" s="12" t="s">
        <v>1002</v>
      </c>
      <c r="B77" s="13">
        <v>6263.25</v>
      </c>
    </row>
    <row r="78" spans="1:2" x14ac:dyDescent="0.25">
      <c r="A78" s="12" t="s">
        <v>126</v>
      </c>
      <c r="B78" s="13">
        <v>362.22</v>
      </c>
    </row>
    <row r="79" spans="1:2" x14ac:dyDescent="0.25">
      <c r="A79" s="12" t="s">
        <v>1091</v>
      </c>
      <c r="B79" s="13">
        <v>1762.56</v>
      </c>
    </row>
    <row r="80" spans="1:2" x14ac:dyDescent="0.25">
      <c r="A80" s="12" t="s">
        <v>1044</v>
      </c>
      <c r="B80" s="13">
        <v>3672</v>
      </c>
    </row>
    <row r="81" spans="1:2" x14ac:dyDescent="0.25">
      <c r="A81" s="12" t="s">
        <v>747</v>
      </c>
      <c r="B81" s="13">
        <v>3580.2000000000003</v>
      </c>
    </row>
    <row r="82" spans="1:2" x14ac:dyDescent="0.25">
      <c r="A82" s="12" t="s">
        <v>533</v>
      </c>
      <c r="B82" s="13">
        <v>596.75</v>
      </c>
    </row>
    <row r="83" spans="1:2" x14ac:dyDescent="0.25">
      <c r="A83" s="12" t="s">
        <v>253</v>
      </c>
      <c r="B83" s="13">
        <v>23266</v>
      </c>
    </row>
    <row r="84" spans="1:2" x14ac:dyDescent="0.25">
      <c r="A84" s="12" t="s">
        <v>1220</v>
      </c>
      <c r="B84" s="13">
        <v>6479.2</v>
      </c>
    </row>
    <row r="85" spans="1:2" x14ac:dyDescent="0.25">
      <c r="A85" s="12" t="s">
        <v>167</v>
      </c>
      <c r="B85" s="13">
        <v>120099</v>
      </c>
    </row>
    <row r="86" spans="1:2" x14ac:dyDescent="0.25">
      <c r="A86" s="12" t="s">
        <v>180</v>
      </c>
      <c r="B86" s="13">
        <v>68922.5</v>
      </c>
    </row>
    <row r="87" spans="1:2" x14ac:dyDescent="0.25">
      <c r="A87" s="12" t="s">
        <v>603</v>
      </c>
      <c r="B87" s="13">
        <v>23749.5</v>
      </c>
    </row>
    <row r="88" spans="1:2" x14ac:dyDescent="0.25">
      <c r="A88" s="12" t="s">
        <v>653</v>
      </c>
      <c r="B88" s="13">
        <v>24370.5</v>
      </c>
    </row>
    <row r="89" spans="1:2" x14ac:dyDescent="0.25">
      <c r="A89" s="12" t="s">
        <v>1566</v>
      </c>
      <c r="B89" s="13">
        <v>1744230.0099999998</v>
      </c>
    </row>
  </sheetData>
  <mergeCells count="2">
    <mergeCell ref="A1:B2"/>
    <mergeCell ref="D1:E2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Payroll Analysis DashBoard</vt:lpstr>
      <vt:lpstr>US Employee Payroll Analytics</vt:lpstr>
      <vt:lpstr>US Employee Payroll Cleaned</vt:lpstr>
      <vt:lpstr>Lookup Sheet</vt:lpstr>
      <vt:lpstr>Department Payroll Analysis</vt:lpstr>
      <vt:lpstr>Payroll By Job 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2026-10-05T18:01:28Z</dcterms:created>
  <dcterms:modified xsi:type="dcterms:W3CDTF">2026-10-13T14:57:09Z</dcterms:modified>
</cp:coreProperties>
</file>